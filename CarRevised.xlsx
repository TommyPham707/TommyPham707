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my\OneDrive\Desktop\Project\Claude Project\"/>
    </mc:Choice>
  </mc:AlternateContent>
  <xr:revisionPtr revIDLastSave="0" documentId="13_ncr:1_{419008A6-1E8F-4947-B68B-2ACCC589CD5B}" xr6:coauthVersionLast="47" xr6:coauthVersionMax="47" xr10:uidLastSave="{00000000-0000-0000-0000-000000000000}"/>
  <bookViews>
    <workbookView xWindow="-120" yWindow="-120" windowWidth="38640" windowHeight="21120" activeTab="1" xr2:uid="{FE14A313-D1FC-4143-BED5-A379C70382DA}"/>
  </bookViews>
  <sheets>
    <sheet name="Pivot Table" sheetId="4" r:id="rId1"/>
    <sheet name="Cars Datasets 2025" sheetId="2" r:id="rId2"/>
  </sheets>
  <definedNames>
    <definedName name="ExternalData_1" localSheetId="1" hidden="1">'Cars Datasets 2025'!$A$1:$K$1203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4" l="1"/>
  <c r="J22" i="4"/>
  <c r="J21" i="4"/>
  <c r="J20" i="4"/>
  <c r="J19" i="4"/>
  <c r="J18" i="4"/>
  <c r="J14" i="4"/>
  <c r="J13" i="4"/>
  <c r="J12" i="4"/>
  <c r="J11" i="4"/>
  <c r="J10" i="4"/>
  <c r="J9" i="4"/>
  <c r="J8" i="4"/>
  <c r="J7" i="4"/>
  <c r="J6" i="4"/>
  <c r="G35" i="4"/>
  <c r="G34" i="4" a="1"/>
  <c r="G34" i="4" s="1"/>
  <c r="G33" i="4" a="1"/>
  <c r="G33" i="4" s="1"/>
  <c r="G32" i="4" a="1"/>
  <c r="G32" i="4" s="1"/>
  <c r="J23" i="4" s="1"/>
  <c r="G31" i="4" a="1"/>
  <c r="G31" i="4" s="1"/>
  <c r="G30" i="4" a="1"/>
  <c r="G30" i="4" s="1"/>
  <c r="G29" i="4" a="1"/>
  <c r="G29" i="4" s="1"/>
  <c r="G28" i="4" a="1"/>
  <c r="G28" i="4" s="1"/>
  <c r="G27" i="4" a="1"/>
  <c r="G27" i="4" s="1"/>
  <c r="G26" i="4" a="1"/>
  <c r="G26" i="4" s="1"/>
  <c r="G25" i="4" a="1"/>
  <c r="G25" i="4" s="1"/>
  <c r="G24" i="4" a="1"/>
  <c r="G24" i="4" s="1"/>
  <c r="G23" i="4" a="1"/>
  <c r="G23" i="4" s="1"/>
  <c r="G22" i="4" a="1"/>
  <c r="G22" i="4" s="1"/>
  <c r="G21" i="4" a="1"/>
  <c r="G21" i="4" s="1"/>
  <c r="G20" i="4" a="1"/>
  <c r="G20" i="4" s="1"/>
  <c r="G19" i="4" a="1"/>
  <c r="G19" i="4" s="1"/>
  <c r="G18" i="4" a="1"/>
  <c r="G18" i="4" s="1"/>
  <c r="G17" i="4" a="1"/>
  <c r="G17" i="4" s="1"/>
  <c r="G16" i="4" a="1"/>
  <c r="G16" i="4" s="1"/>
  <c r="G15" i="4" a="1"/>
  <c r="G15" i="4" s="1"/>
  <c r="G14" i="4" a="1"/>
  <c r="G14" i="4" s="1"/>
  <c r="G13" i="4" a="1"/>
  <c r="G13" i="4" s="1"/>
  <c r="G12" i="4" a="1"/>
  <c r="G12" i="4" s="1"/>
  <c r="G11" i="4" a="1"/>
  <c r="G11" i="4" s="1"/>
  <c r="G10" i="4" a="1"/>
  <c r="G10" i="4" s="1"/>
  <c r="G9" i="4" a="1"/>
  <c r="G9" i="4" s="1"/>
  <c r="G8" i="4" a="1"/>
  <c r="G8" i="4" s="1"/>
  <c r="G7" i="4" a="1"/>
  <c r="G7" i="4" s="1"/>
  <c r="G6" i="4" a="1"/>
  <c r="G6" i="4" s="1"/>
  <c r="G5" i="4" a="1"/>
  <c r="G5" i="4" s="1"/>
  <c r="G4" i="4" a="1"/>
  <c r="G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E7F751-C9BA-4A42-A852-A27B6E92419A}" keepAlive="1" name="Query - Cars Datasets 2025" description="Connection to the 'Cars Datasets 2025' query in the workbook." type="5" refreshedVersion="8" background="1" saveData="1">
    <dbPr connection="Provider=Microsoft.Mashup.OleDb.1;Data Source=$Workbook$;Location=&quot;Cars Datasets 2025&quot;;Extended Properties=&quot;&quot;" command="SELECT * FROM [Cars Datasets 202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<sst xmlns="http://schemas.openxmlformats.org/spreadsheetml/2006/main" count="4880" uniqueCount="1637">
  <si>
    <t>Company Names</t>
  </si>
  <si>
    <t>Cars Names</t>
  </si>
  <si>
    <t>Engines</t>
  </si>
  <si>
    <t>CC/Battery Capacity</t>
  </si>
  <si>
    <t>Horse Power Final</t>
  </si>
  <si>
    <t>Total Speed</t>
  </si>
  <si>
    <t>Performance(0 - 100 )KM/H</t>
  </si>
  <si>
    <t>Car Prices Final</t>
  </si>
  <si>
    <t>Fuel Types</t>
  </si>
  <si>
    <t>Seats</t>
  </si>
  <si>
    <t>Torque Final</t>
  </si>
  <si>
    <t>Ferrari</t>
  </si>
  <si>
    <t>SF90 STRADALE</t>
  </si>
  <si>
    <t>V8</t>
  </si>
  <si>
    <t>Plug-in Hybrid</t>
  </si>
  <si>
    <t>Rolls Royce</t>
  </si>
  <si>
    <t>PHANTOM</t>
  </si>
  <si>
    <t>V12</t>
  </si>
  <si>
    <t>Petrol</t>
  </si>
  <si>
    <t>Ford</t>
  </si>
  <si>
    <t>KA+</t>
  </si>
  <si>
    <t>1.2L Petrol</t>
  </si>
  <si>
    <t>Mercedes</t>
  </si>
  <si>
    <t xml:space="preserve"> GT 63 S</t>
  </si>
  <si>
    <t>Audi</t>
  </si>
  <si>
    <t>AUDI R8 Gt</t>
  </si>
  <si>
    <t>V10</t>
  </si>
  <si>
    <t>Bmw</t>
  </si>
  <si>
    <t>Mclaren 720s</t>
  </si>
  <si>
    <t>Aston Martin</t>
  </si>
  <si>
    <t>VANTAGE F1</t>
  </si>
  <si>
    <t>Bentley</t>
  </si>
  <si>
    <t>Continental GT Azure</t>
  </si>
  <si>
    <t>Lamborghini</t>
  </si>
  <si>
    <t>VENENO ROADSTER</t>
  </si>
  <si>
    <t>F8 TRIBUTO</t>
  </si>
  <si>
    <t>812 GTS</t>
  </si>
  <si>
    <t>PORTOFINO</t>
  </si>
  <si>
    <t>ROMA</t>
  </si>
  <si>
    <t>MONZA SP2</t>
  </si>
  <si>
    <t>F8 SPIDER</t>
  </si>
  <si>
    <t>PORTOFINO M</t>
  </si>
  <si>
    <t>ROMA SPIDER</t>
  </si>
  <si>
    <t>Toyota</t>
  </si>
  <si>
    <t>GR SUPRA</t>
  </si>
  <si>
    <t>I4</t>
  </si>
  <si>
    <t>TOYOTA 86</t>
  </si>
  <si>
    <t>BOXER-4</t>
  </si>
  <si>
    <t>TOYOTA  GR86</t>
  </si>
  <si>
    <t>TOYOTA LAND CRUISER</t>
  </si>
  <si>
    <t>Diesel</t>
  </si>
  <si>
    <t>TOYOTA SEQUOIA</t>
  </si>
  <si>
    <t>Nissan</t>
  </si>
  <si>
    <t>GT-R</t>
  </si>
  <si>
    <t>V6</t>
  </si>
  <si>
    <t>370Z</t>
  </si>
  <si>
    <t>Z PROTO</t>
  </si>
  <si>
    <t>ALTIMA</t>
  </si>
  <si>
    <t>MAXIMA</t>
  </si>
  <si>
    <t>SENTRA</t>
  </si>
  <si>
    <t>ROGUE</t>
  </si>
  <si>
    <t>PATHFINDER</t>
  </si>
  <si>
    <t>FRONTIER</t>
  </si>
  <si>
    <t>TITAN</t>
  </si>
  <si>
    <t>VALKYRIE</t>
  </si>
  <si>
    <t>Hybrid</t>
  </si>
  <si>
    <t>VALHALLA</t>
  </si>
  <si>
    <t>DBS SUPERLEGGERA</t>
  </si>
  <si>
    <t>DB11</t>
  </si>
  <si>
    <t xml:space="preserve">VANTAGE </t>
  </si>
  <si>
    <t>DBX</t>
  </si>
  <si>
    <t>RAPIDE AMR</t>
  </si>
  <si>
    <t>VANQUISH</t>
  </si>
  <si>
    <t>LAGONDA TARAF</t>
  </si>
  <si>
    <t>VICTOR</t>
  </si>
  <si>
    <t>SIAN</t>
  </si>
  <si>
    <t>AVENTADOR SVJ</t>
  </si>
  <si>
    <t>HURACAN PERFORMANTE</t>
  </si>
  <si>
    <t>HURACAN EVO</t>
  </si>
  <si>
    <t>AVENTADOR SV</t>
  </si>
  <si>
    <t xml:space="preserve">URUS </t>
  </si>
  <si>
    <t>HURACAN SPYDER</t>
  </si>
  <si>
    <t>AVENTADOR ROADSTER</t>
  </si>
  <si>
    <t>HURACAN  PERFORMANTE SPYDER</t>
  </si>
  <si>
    <t>AVENTADOR S</t>
  </si>
  <si>
    <t>HURACAN EVO SPYDER</t>
  </si>
  <si>
    <t>URUS PERFORMANTE</t>
  </si>
  <si>
    <t>AVENTADOR ULTIMAE</t>
  </si>
  <si>
    <t>HURACAN EVO RWD</t>
  </si>
  <si>
    <t>AVENTADOR SVJ ROADSTER</t>
  </si>
  <si>
    <t>URUS S</t>
  </si>
  <si>
    <t>HURACAN STO</t>
  </si>
  <si>
    <t>AVENTADOR LP 780-4 ULTIMATE</t>
  </si>
  <si>
    <t>HURACAN EVO RWD SPYDER</t>
  </si>
  <si>
    <t>AVENTADOR SVJ XAGO</t>
  </si>
  <si>
    <t>URUS GRAPHITE CAPSULE</t>
  </si>
  <si>
    <t>HURACAN STO EVO</t>
  </si>
  <si>
    <t>AVENTADOR LP 780-4 ULTIMATE ROADSTER</t>
  </si>
  <si>
    <t>GHOST</t>
  </si>
  <si>
    <t>WRAITH</t>
  </si>
  <si>
    <t>DAWN</t>
  </si>
  <si>
    <t>CULLINAN</t>
  </si>
  <si>
    <t>PHANTOM EXTENDED</t>
  </si>
  <si>
    <t>GHOST EXTENDED</t>
  </si>
  <si>
    <t>WRAITH BLACK BADGE</t>
  </si>
  <si>
    <t>DAWN BLACK BADGE</t>
  </si>
  <si>
    <t>CULLINAN BLACK BADGE</t>
  </si>
  <si>
    <t>PHANTOM COUPE</t>
  </si>
  <si>
    <t>GHOST COUPE</t>
  </si>
  <si>
    <t>WRAITH COUPE</t>
  </si>
  <si>
    <t>DAWN CONVERTIBLE</t>
  </si>
  <si>
    <t>CULLINAN SUV</t>
  </si>
  <si>
    <t>BENZ S-CLASS S 580</t>
  </si>
  <si>
    <t>BENZ E-CLASS E 63 S</t>
  </si>
  <si>
    <t>BENZ CLA 45 AMG</t>
  </si>
  <si>
    <t>BENZ GLE 63 S</t>
  </si>
  <si>
    <t>BENZ S-CLASS S 500</t>
  </si>
  <si>
    <t xml:space="preserve">BENZ E-CLASS E 450 </t>
  </si>
  <si>
    <t>BENZ CLS 450</t>
  </si>
  <si>
    <t>BENZ GT 53</t>
  </si>
  <si>
    <t>BENZ GLE 450</t>
  </si>
  <si>
    <t>BENZ A-CLASS A 45 S</t>
  </si>
  <si>
    <t>BENZ C-CLASS C 43</t>
  </si>
  <si>
    <t>BENZ E-CLASS E 350</t>
  </si>
  <si>
    <t xml:space="preserve">BENZ GLE 350 </t>
  </si>
  <si>
    <t>BENZ GLC 43</t>
  </si>
  <si>
    <t>BENZ GLA 45</t>
  </si>
  <si>
    <t xml:space="preserve">BENZ GLC 350 </t>
  </si>
  <si>
    <t>BENZ GLE 53</t>
  </si>
  <si>
    <t>BENZ S-CLASS S 350</t>
  </si>
  <si>
    <t>BENZ EQS 53</t>
  </si>
  <si>
    <t>ELECTRIC MOTOR</t>
  </si>
  <si>
    <t>Electric</t>
  </si>
  <si>
    <t>BENZ MAYBACH S 680</t>
  </si>
  <si>
    <t>M5 CS</t>
  </si>
  <si>
    <t>M4 GTS</t>
  </si>
  <si>
    <t>I6</t>
  </si>
  <si>
    <t>M3 COMPETITION</t>
  </si>
  <si>
    <t>M2 CS</t>
  </si>
  <si>
    <t>X5 M COMPETITION</t>
  </si>
  <si>
    <t>X3 M COMPETITION</t>
  </si>
  <si>
    <t>M8 GRAN COUPE</t>
  </si>
  <si>
    <t>M850i DRIVE COUPE</t>
  </si>
  <si>
    <t>DAWN BLACK BADGE VOLANTE</t>
  </si>
  <si>
    <t>CULLINAN BLACK BADGE SUV</t>
  </si>
  <si>
    <t>PHATOM TRANQUILITY</t>
  </si>
  <si>
    <t>GHOST ZENITH</t>
  </si>
  <si>
    <t>WRAITH EAGLE VIII</t>
  </si>
  <si>
    <t>PHATOM ORCHID</t>
  </si>
  <si>
    <t>GHOST AZURE</t>
  </si>
  <si>
    <t>WRAITH KRYPTOS</t>
  </si>
  <si>
    <t>DAWN SILVER BULLET</t>
  </si>
  <si>
    <t>CULLINAN FUX ORANGE</t>
  </si>
  <si>
    <t>PHANTOM CELESTIAL</t>
  </si>
  <si>
    <t>GHOST MYSORE</t>
  </si>
  <si>
    <t>WRAITH LUMINARY</t>
  </si>
  <si>
    <t>DAWN BLACK BADGE ADAMAS</t>
  </si>
  <si>
    <t>CULLINAN RED DIAMOND</t>
  </si>
  <si>
    <t>R8 V10 PLUS</t>
  </si>
  <si>
    <t>RS7 SPORTBACK</t>
  </si>
  <si>
    <t>S8</t>
  </si>
  <si>
    <t>RS6 AVANT</t>
  </si>
  <si>
    <t>S7 SPORTBACK</t>
  </si>
  <si>
    <t>A8</t>
  </si>
  <si>
    <t>S5 COUPE</t>
  </si>
  <si>
    <t>SQ5</t>
  </si>
  <si>
    <t>S4 SEDAN</t>
  </si>
  <si>
    <t>S3 SEDAN</t>
  </si>
  <si>
    <t>Q7</t>
  </si>
  <si>
    <t>Q5</t>
  </si>
  <si>
    <t>A7</t>
  </si>
  <si>
    <t>A6</t>
  </si>
  <si>
    <t>A5 COUPE</t>
  </si>
  <si>
    <t>A4</t>
  </si>
  <si>
    <t>Q3</t>
  </si>
  <si>
    <t>E-TRON</t>
  </si>
  <si>
    <t xml:space="preserve">ELECTRIC </t>
  </si>
  <si>
    <t>E-TRON SPORTBACK</t>
  </si>
  <si>
    <t>ELECTRIC</t>
  </si>
  <si>
    <t>TT COUPE</t>
  </si>
  <si>
    <t>I8 ROADSTER</t>
  </si>
  <si>
    <t>330i</t>
  </si>
  <si>
    <t>M340i XDRIVE</t>
  </si>
  <si>
    <t>430i COUPE</t>
  </si>
  <si>
    <t>M4 COMPETITION</t>
  </si>
  <si>
    <t>530i</t>
  </si>
  <si>
    <t>M550i XDRIVE</t>
  </si>
  <si>
    <t>118i</t>
  </si>
  <si>
    <t>I3</t>
  </si>
  <si>
    <t>128ti</t>
  </si>
  <si>
    <t>M135i XDRIVE</t>
  </si>
  <si>
    <t>116D</t>
  </si>
  <si>
    <t>120D XDRIVE</t>
  </si>
  <si>
    <t>116i</t>
  </si>
  <si>
    <t>118D</t>
  </si>
  <si>
    <t>120i</t>
  </si>
  <si>
    <t>125i</t>
  </si>
  <si>
    <t>114D</t>
  </si>
  <si>
    <t>114i</t>
  </si>
  <si>
    <t>125D</t>
  </si>
  <si>
    <t>118i XDRIVE</t>
  </si>
  <si>
    <t>116D EFFICIENTDYNAMICS</t>
  </si>
  <si>
    <t>118i SPORTLINE</t>
  </si>
  <si>
    <t>118i M SPORT</t>
  </si>
  <si>
    <t>120i M SPORT</t>
  </si>
  <si>
    <t>116i EFFICIENTDYNAMICS</t>
  </si>
  <si>
    <t>116D ADVANTAGE</t>
  </si>
  <si>
    <t>120D EFFICIENTDYNAMICS</t>
  </si>
  <si>
    <t>118i SHADOW LINE</t>
  </si>
  <si>
    <t>118D SPORT LINE</t>
  </si>
  <si>
    <t>120i XDRIVE</t>
  </si>
  <si>
    <t>114D SPORT LINE</t>
  </si>
  <si>
    <t>118i URBAN LINE</t>
  </si>
  <si>
    <t>Volvo</t>
  </si>
  <si>
    <t>XC90</t>
  </si>
  <si>
    <t>Petrol/Diesel</t>
  </si>
  <si>
    <t>XC60</t>
  </si>
  <si>
    <t>S90</t>
  </si>
  <si>
    <t>Kia</t>
  </si>
  <si>
    <t>SPORTAGE LX</t>
  </si>
  <si>
    <t>SPORTAGE EX</t>
  </si>
  <si>
    <t>SPORTAGE GT-LINE</t>
  </si>
  <si>
    <t>SPORTAGE SX TURBO</t>
  </si>
  <si>
    <t>SPORTAGE NIGHTFALL EDITION</t>
  </si>
  <si>
    <t>Honda</t>
  </si>
  <si>
    <t>CIVIC TYPE R</t>
  </si>
  <si>
    <t>SPORTAGE PHEV</t>
  </si>
  <si>
    <t>I4 + ELECTRIC</t>
  </si>
  <si>
    <t>SPORTAGE 2024(BASE MODEL)</t>
  </si>
  <si>
    <t>SPORTAGE 2024(TOP TRIM)</t>
  </si>
  <si>
    <t>SPORTAGE 2024(BASE AWD)</t>
  </si>
  <si>
    <t>SPORTAGE X-LINE</t>
  </si>
  <si>
    <t>SPORTAGE 2024(S TRIM)</t>
  </si>
  <si>
    <t>ACCORD</t>
  </si>
  <si>
    <t>SPORTAGE 2024(HYBRID AWD)</t>
  </si>
  <si>
    <t>SPORTAGE 2024(PLUG-IN HYBRID AWD)</t>
  </si>
  <si>
    <t>SPORTAGE 2024(X-PRO)</t>
  </si>
  <si>
    <t>SPORTAGE 2024(X-PRO PRESTIGE)</t>
  </si>
  <si>
    <t>SPORTAGE 2024(SX TURBO AWD)</t>
  </si>
  <si>
    <t>SPORTAGE 2024(BASE FWD)</t>
  </si>
  <si>
    <t>CR-V</t>
  </si>
  <si>
    <t>Petrol/Hybrid</t>
  </si>
  <si>
    <t>PILOT</t>
  </si>
  <si>
    <t>CIVIC HATCHBACK</t>
  </si>
  <si>
    <t>CAMRY</t>
  </si>
  <si>
    <t>COROLLA</t>
  </si>
  <si>
    <t>PRIUS</t>
  </si>
  <si>
    <t>RAV4</t>
  </si>
  <si>
    <t>HIGHLANDER</t>
  </si>
  <si>
    <t xml:space="preserve">4RUNNER </t>
  </si>
  <si>
    <t>TACOMA</t>
  </si>
  <si>
    <t>TUNDRA</t>
  </si>
  <si>
    <t>AVALON</t>
  </si>
  <si>
    <t>MIRAI</t>
  </si>
  <si>
    <t>Hydrogen</t>
  </si>
  <si>
    <t>SIENNA</t>
  </si>
  <si>
    <t>VENZA</t>
  </si>
  <si>
    <t>HIGHLANDER HYBRID</t>
  </si>
  <si>
    <t>LAND CRUISER PRADO</t>
  </si>
  <si>
    <t>TUNDRA HYBRID</t>
  </si>
  <si>
    <t>YARIS</t>
  </si>
  <si>
    <t>C-HR</t>
  </si>
  <si>
    <t>BZ4X</t>
  </si>
  <si>
    <t>CROWN</t>
  </si>
  <si>
    <t>HYBRID</t>
  </si>
  <si>
    <t>MR2</t>
  </si>
  <si>
    <t>CELICA</t>
  </si>
  <si>
    <t>CITY</t>
  </si>
  <si>
    <t>CIVIC</t>
  </si>
  <si>
    <t>Hyundai</t>
  </si>
  <si>
    <t>I10</t>
  </si>
  <si>
    <t>1.2L,4-CYLINDER,INLINE-4(I4)</t>
  </si>
  <si>
    <t>I20</t>
  </si>
  <si>
    <t>1.4L,4-CYLINDER,INLINE-4(I4)</t>
  </si>
  <si>
    <t>ELANTRA</t>
  </si>
  <si>
    <t>2.0L,4-CYLINDER,INLINE-4(I4)</t>
  </si>
  <si>
    <t>Mahindra</t>
  </si>
  <si>
    <t>XUV500</t>
  </si>
  <si>
    <t>2.2L,4-CYLINDER,INLINE-4(I4)</t>
  </si>
  <si>
    <t>SCORPIO</t>
  </si>
  <si>
    <t>THAR</t>
  </si>
  <si>
    <t>Maruti Suzuki</t>
  </si>
  <si>
    <t>SWIFT</t>
  </si>
  <si>
    <t>DZIRE</t>
  </si>
  <si>
    <t>BREZZA</t>
  </si>
  <si>
    <t>1.5L,4-CYLINDER,INLINE(I4)</t>
  </si>
  <si>
    <t>PRIUS PRIME</t>
  </si>
  <si>
    <t>2.0L,4-CYLINDER,WITH HYBRID SYSTEM</t>
  </si>
  <si>
    <t>GR COROLLA</t>
  </si>
  <si>
    <t>1.6L,TURBOCHARGED INLINE-3</t>
  </si>
  <si>
    <t>LAND CRUISER 300</t>
  </si>
  <si>
    <t>3.3L,V6,TWIN TURBO DIESEL</t>
  </si>
  <si>
    <t>TUNDRA I-FORCE MAX</t>
  </si>
  <si>
    <t>3.5L,V6,HYBRID TWIN-TURBO</t>
  </si>
  <si>
    <t>COROLLA HATCHBACK XSE</t>
  </si>
  <si>
    <t>2.0L,INLINE-4</t>
  </si>
  <si>
    <t>HILUX GR SPORT</t>
  </si>
  <si>
    <t>2.8L,TURBO,DIESEL</t>
  </si>
  <si>
    <t>ALPHARD EXECUTIVE LOUNGE</t>
  </si>
  <si>
    <t>2.5L,INLINE-4,HYBRID,OR 3.5L,V6</t>
  </si>
  <si>
    <t>FORTUNER GR SPORT</t>
  </si>
  <si>
    <t>INNOVA HYCROSS</t>
  </si>
  <si>
    <t>2.0L HYBRID</t>
  </si>
  <si>
    <t>COASTER</t>
  </si>
  <si>
    <t>4.0L,DIESEL</t>
  </si>
  <si>
    <t>URBAN CRUISER TAISOR</t>
  </si>
  <si>
    <t>1.5L,HYBRID</t>
  </si>
  <si>
    <t>AYGO X</t>
  </si>
  <si>
    <t>1.0L,INLINE-3</t>
  </si>
  <si>
    <t>HILUX REVO ROCCO</t>
  </si>
  <si>
    <t>PROACE VERSO ELECTRIC</t>
  </si>
  <si>
    <t>CENTURY SUV</t>
  </si>
  <si>
    <t>3.5L,V6,PLUG IN HYBRID</t>
  </si>
  <si>
    <t>COROLLA SEDAN HYBRID</t>
  </si>
  <si>
    <t>1.8L,HYBRID</t>
  </si>
  <si>
    <t>BZ3</t>
  </si>
  <si>
    <t>GR YARIS</t>
  </si>
  <si>
    <t>SANTA FE</t>
  </si>
  <si>
    <t>1.6L PETROL + PLUG IN HYBRID SYSTEM</t>
  </si>
  <si>
    <t>IONIQ 5</t>
  </si>
  <si>
    <t>Santa Cruz</t>
  </si>
  <si>
    <t>2.5L Turbocharged Inline-4</t>
  </si>
  <si>
    <t>Kona</t>
  </si>
  <si>
    <t xml:space="preserve">1.6L PETROL </t>
  </si>
  <si>
    <t>Petrol/EV</t>
  </si>
  <si>
    <t>Elantra</t>
  </si>
  <si>
    <t>2.0L Inline-4</t>
  </si>
  <si>
    <t>Urvan</t>
  </si>
  <si>
    <t>2.5L Turbo Diese</t>
  </si>
  <si>
    <t>IONIQ 6</t>
  </si>
  <si>
    <t>Electric Motor</t>
  </si>
  <si>
    <t>Tucson</t>
  </si>
  <si>
    <t>2.5L Inline-4</t>
  </si>
  <si>
    <t>Palisade</t>
  </si>
  <si>
    <t>3.8L V6</t>
  </si>
  <si>
    <t>Sonata</t>
  </si>
  <si>
    <t>Accent</t>
  </si>
  <si>
    <t>1.6L Inline-4</t>
  </si>
  <si>
    <t>Venue</t>
  </si>
  <si>
    <t>KONA Electric</t>
  </si>
  <si>
    <t>Veloster</t>
  </si>
  <si>
    <t>NEXO</t>
  </si>
  <si>
    <t>Ioniq</t>
  </si>
  <si>
    <t>Hybrid/Electric</t>
  </si>
  <si>
    <t>Genesis</t>
  </si>
  <si>
    <t>Azera</t>
  </si>
  <si>
    <t>3.3L V6</t>
  </si>
  <si>
    <t>Equus</t>
  </si>
  <si>
    <t>Tiburon</t>
  </si>
  <si>
    <t>Elantra GT</t>
  </si>
  <si>
    <t>1.6L Turbo GDI 4-cylinder</t>
  </si>
  <si>
    <t>Volkswagen</t>
  </si>
  <si>
    <t>Golf</t>
  </si>
  <si>
    <t>1.5L Turbo I4 / Electric</t>
  </si>
  <si>
    <t>Passat</t>
  </si>
  <si>
    <t>2.0L Turbo I4</t>
  </si>
  <si>
    <t>Tiguan</t>
  </si>
  <si>
    <t>Jetta</t>
  </si>
  <si>
    <t>1.5L Turbo I4</t>
  </si>
  <si>
    <t>Polo</t>
  </si>
  <si>
    <t>1.0L Turbo I3 / 1.6L Diesel</t>
  </si>
  <si>
    <t>Arteon</t>
  </si>
  <si>
    <t>ID.4</t>
  </si>
  <si>
    <t>Up!</t>
  </si>
  <si>
    <t>Touareg</t>
  </si>
  <si>
    <t>3.0L V6 Turbo Diesel / 4.0L V8</t>
  </si>
  <si>
    <t>Scirocco</t>
  </si>
  <si>
    <t>Beetle</t>
  </si>
  <si>
    <t>Amarok</t>
  </si>
  <si>
    <t>3.0L V6 Turbo Diesel</t>
  </si>
  <si>
    <t>T-Roc</t>
  </si>
  <si>
    <t>Sharan</t>
  </si>
  <si>
    <t>Caddy</t>
  </si>
  <si>
    <t>NV1500</t>
  </si>
  <si>
    <t>4.0L V6</t>
  </si>
  <si>
    <t>Taigo</t>
  </si>
  <si>
    <t>California</t>
  </si>
  <si>
    <t>ID.3</t>
  </si>
  <si>
    <t>ID. Buzz</t>
  </si>
  <si>
    <t>Golf GTI</t>
  </si>
  <si>
    <t>Golf R</t>
  </si>
  <si>
    <t>Passat Alltrack</t>
  </si>
  <si>
    <t>2.0L Turbo Diesel I4</t>
  </si>
  <si>
    <t>Polo GTI</t>
  </si>
  <si>
    <t>Up! GTI</t>
  </si>
  <si>
    <t>1.0L Turbo I3</t>
  </si>
  <si>
    <t>T-Cross</t>
  </si>
  <si>
    <t>1.0L Turbo I3 / 1.5L Turbo I4</t>
  </si>
  <si>
    <t>ID.5</t>
  </si>
  <si>
    <t>ID. Buzz Cargo</t>
  </si>
  <si>
    <t>Touareg R</t>
  </si>
  <si>
    <t>Plug-in Hybrid V6</t>
  </si>
  <si>
    <t>Multivan</t>
  </si>
  <si>
    <t>Plug-in Hybrid / Diesel I4</t>
  </si>
  <si>
    <t>Polo BlueMotion</t>
  </si>
  <si>
    <t>1.2L Diesel I3</t>
  </si>
  <si>
    <t>Golf Sportsvan</t>
  </si>
  <si>
    <t>Golf Alltrack</t>
  </si>
  <si>
    <t>Scirocco R</t>
  </si>
  <si>
    <t>Tiguan Allspace</t>
  </si>
  <si>
    <t>Arteon 4MOTION</t>
  </si>
  <si>
    <t>ID.4 GTX</t>
  </si>
  <si>
    <t>Electric AWD</t>
  </si>
  <si>
    <t>ID.3 Pro</t>
  </si>
  <si>
    <t>Golf Variant</t>
  </si>
  <si>
    <t>1.5L Turbo I4 / 2.0L Diesel I4</t>
  </si>
  <si>
    <t>Crafter</t>
  </si>
  <si>
    <t>Lupo</t>
  </si>
  <si>
    <t>1.4L I3 Gas / 1.2L Diesel I3</t>
  </si>
  <si>
    <t>Corrado</t>
  </si>
  <si>
    <t>2.9L VR6</t>
  </si>
  <si>
    <t>Phaeton</t>
  </si>
  <si>
    <t>3.0L V6 Diesel / 6.0L W12 Gas</t>
  </si>
  <si>
    <t>Golf Cabriolet</t>
  </si>
  <si>
    <t>1.2L I4 Turbo / 2.0L I4 Turbo</t>
  </si>
  <si>
    <t>Santana</t>
  </si>
  <si>
    <t>1.5L I4 Gas</t>
  </si>
  <si>
    <t>Polo Vivo</t>
  </si>
  <si>
    <t>1.4L I4 Gas / 1.6L I4 Gas</t>
  </si>
  <si>
    <t>Karmann Ghia</t>
  </si>
  <si>
    <t>1.2L I4 Gas</t>
  </si>
  <si>
    <t>Fox</t>
  </si>
  <si>
    <t>1.2L I4 Gas / 1.4L I4 Gas</t>
  </si>
  <si>
    <t>Vento</t>
  </si>
  <si>
    <t>1.6L I4 Gas / Diesel</t>
  </si>
  <si>
    <t>Golf Electric</t>
  </si>
  <si>
    <t>Bora</t>
  </si>
  <si>
    <t>1.6L I4 Gas / 1.9L I4 Diesel</t>
  </si>
  <si>
    <t>Teramont</t>
  </si>
  <si>
    <t>2.0L I4 Turbo / 3.6L V6 Gas</t>
  </si>
  <si>
    <t>Taos</t>
  </si>
  <si>
    <t>1.5L I4 Turbo</t>
  </si>
  <si>
    <t>Up! Cabriolet</t>
  </si>
  <si>
    <t>1.0L I3 Turbo</t>
  </si>
  <si>
    <t>T-Roc Cabriolet</t>
  </si>
  <si>
    <t>1.0L I3 Turbo / 1.5L I4 Turbo</t>
  </si>
  <si>
    <t>Passat CC</t>
  </si>
  <si>
    <t>2.0L I4 Turbo</t>
  </si>
  <si>
    <t>Transporter</t>
  </si>
  <si>
    <t>2.0L I4 Turbo Diesel</t>
  </si>
  <si>
    <t>Amarok V6</t>
  </si>
  <si>
    <t>ID.2</t>
  </si>
  <si>
    <t>Polo TDI</t>
  </si>
  <si>
    <t>1.4L I4 Diesel / 1.6L Diesel</t>
  </si>
  <si>
    <t>Golf GTE</t>
  </si>
  <si>
    <t>Plug-in Hybrid (1.4L I4 Turbo)</t>
  </si>
  <si>
    <t>Touareg V8</t>
  </si>
  <si>
    <t>4.0L V8 Turbo Diesel</t>
  </si>
  <si>
    <t>Beetle Dune</t>
  </si>
  <si>
    <t>1.4L I4 Turbo</t>
  </si>
  <si>
    <t>Passat B8</t>
  </si>
  <si>
    <t>1.5L I4 Turbo / 2.0L Diesel</t>
  </si>
  <si>
    <t>ID.4 Pro S</t>
  </si>
  <si>
    <t>Golf Country</t>
  </si>
  <si>
    <t>1.8L I4 Gas</t>
  </si>
  <si>
    <t>Jetta GLI</t>
  </si>
  <si>
    <t>Arteon Shooting Brake</t>
  </si>
  <si>
    <t>T-Cross R-Line</t>
  </si>
  <si>
    <t>Golf R32</t>
  </si>
  <si>
    <t>3.2L VR6</t>
  </si>
  <si>
    <t>Passat B7</t>
  </si>
  <si>
    <t>1.6L Diesel / 2.0L I4 Turbo</t>
  </si>
  <si>
    <t>Scirocco 16V</t>
  </si>
  <si>
    <t>Golf Variant GTD</t>
  </si>
  <si>
    <t>2.0L Diesel I4</t>
  </si>
  <si>
    <t>Polo GTI R5</t>
  </si>
  <si>
    <t>1.6L Turbocharged Rally Engine</t>
  </si>
  <si>
    <t>ID. Buzz Pro</t>
  </si>
  <si>
    <t>Jetta Hybrid</t>
  </si>
  <si>
    <t>1.4L I4 Turbo + Electric Motor</t>
  </si>
  <si>
    <t>Golf Variant Alltrack</t>
  </si>
  <si>
    <t>Volkswagen XL1</t>
  </si>
  <si>
    <t>Plug-in Hybrid (0.8L I2 Diesel)</t>
  </si>
  <si>
    <t>Golf TDI</t>
  </si>
  <si>
    <t>Passat Variant</t>
  </si>
  <si>
    <t>Polo GTI Clubsport</t>
  </si>
  <si>
    <t>ID.3 GTX</t>
  </si>
  <si>
    <t>Arteon R-Line</t>
  </si>
  <si>
    <t>Golf TGI</t>
  </si>
  <si>
    <t>1.5L I4 CNG</t>
  </si>
  <si>
    <t>Scirocco GTS</t>
  </si>
  <si>
    <t>Caddy Maxi</t>
  </si>
  <si>
    <t>Volkswagen Lupo 3L</t>
  </si>
  <si>
    <t>Polo Beats</t>
  </si>
  <si>
    <t>Passat Hybrid</t>
  </si>
  <si>
    <t>Golf TCR</t>
  </si>
  <si>
    <t>Tiguan R-Line</t>
  </si>
  <si>
    <t>Sharan Business</t>
  </si>
  <si>
    <t>ID. Buzz Cargo Pro</t>
  </si>
  <si>
    <t>Arteon 280 TSI</t>
  </si>
  <si>
    <t>Jetta GLI 35th</t>
  </si>
  <si>
    <t>Beetle Final Edition</t>
  </si>
  <si>
    <t>Golf Variant TDI</t>
  </si>
  <si>
    <t>Golf 4MOTION</t>
  </si>
  <si>
    <t>Jetta SportWagen</t>
  </si>
  <si>
    <t>1.4L I4 Turbo / 2.0L Diesel I4</t>
  </si>
  <si>
    <t>Polo GTI Plus</t>
  </si>
  <si>
    <t>Touareg V6</t>
  </si>
  <si>
    <t>3.0L V6 Turbo Diesel / Gasoline</t>
  </si>
  <si>
    <t>Tiguan eHybrid</t>
  </si>
  <si>
    <t>Up! e-up!</t>
  </si>
  <si>
    <t>Amarok V8</t>
  </si>
  <si>
    <t>Golf R Cabriolet</t>
  </si>
  <si>
    <t>Passat Alltrack TDI</t>
  </si>
  <si>
    <t>ID. Buzz Cargo EV</t>
  </si>
  <si>
    <t>Versa</t>
  </si>
  <si>
    <t>Micra</t>
  </si>
  <si>
    <t>1.0L Turbocharged Inline-3</t>
  </si>
  <si>
    <t>Patrol Platinum</t>
  </si>
  <si>
    <t>5.6L V8</t>
  </si>
  <si>
    <t>Qashqai</t>
  </si>
  <si>
    <t>1.3L Turbocharged Inline-4</t>
  </si>
  <si>
    <t>Murano</t>
  </si>
  <si>
    <t>3.5L V6</t>
  </si>
  <si>
    <t>Maxima Platinum</t>
  </si>
  <si>
    <t>Armada</t>
  </si>
  <si>
    <t>Kicks</t>
  </si>
  <si>
    <t>X-Trail</t>
  </si>
  <si>
    <t>1.5L Turbocharged Inline-3</t>
  </si>
  <si>
    <t>Z (Fairlady Z)</t>
  </si>
  <si>
    <t>3.0L Twin-Turbo V6</t>
  </si>
  <si>
    <t>Almera</t>
  </si>
  <si>
    <t>Sylphy</t>
  </si>
  <si>
    <t>1.8L Inline-4</t>
  </si>
  <si>
    <t>Note</t>
  </si>
  <si>
    <t>1.2L Inline-3 Hybrid</t>
  </si>
  <si>
    <t>Sunny</t>
  </si>
  <si>
    <t>Cube</t>
  </si>
  <si>
    <t>Juke</t>
  </si>
  <si>
    <t>Terrano</t>
  </si>
  <si>
    <t>1.5L Inline-4 Diesel</t>
  </si>
  <si>
    <t>Magnite</t>
  </si>
  <si>
    <t>Xterra</t>
  </si>
  <si>
    <t>Patrol</t>
  </si>
  <si>
    <t>GT-R NISMO</t>
  </si>
  <si>
    <t>3.8L Twin-Turbo V6</t>
  </si>
  <si>
    <t>370Z Roadster</t>
  </si>
  <si>
    <t>3.7L V6</t>
  </si>
  <si>
    <t xml:space="preserve">Ariya </t>
  </si>
  <si>
    <t>Dual Electric Motors</t>
  </si>
  <si>
    <t>Patrol Royale</t>
  </si>
  <si>
    <t>Infiniti QX80*</t>
  </si>
  <si>
    <t>Tiida</t>
  </si>
  <si>
    <t>Pulsar</t>
  </si>
  <si>
    <t>1.2L Turbocharged Inline-4</t>
  </si>
  <si>
    <t>Latio</t>
  </si>
  <si>
    <t>1.5L Inline-4</t>
  </si>
  <si>
    <t>Bluebird Sylphy</t>
  </si>
  <si>
    <t>March</t>
  </si>
  <si>
    <t>1.2L Inline-3</t>
  </si>
  <si>
    <t>Rogue Sport</t>
  </si>
  <si>
    <t>X-Trail Hybrid</t>
  </si>
  <si>
    <t>2.0L Inline-4 Hybrid</t>
  </si>
  <si>
    <t>Pathfinder Rock Creek</t>
  </si>
  <si>
    <t>Armada Platinum</t>
  </si>
  <si>
    <t>Terrano XL</t>
  </si>
  <si>
    <t>GT-R50 by Italdesign</t>
  </si>
  <si>
    <t>370Z NISMO</t>
  </si>
  <si>
    <t>Ariya E-4ORCE</t>
  </si>
  <si>
    <t>Patrol NISMO</t>
  </si>
  <si>
    <t>Infiniti Q60*</t>
  </si>
  <si>
    <t>3.0L V6 Twin-Turbo</t>
  </si>
  <si>
    <t>Primera</t>
  </si>
  <si>
    <t>Skyline</t>
  </si>
  <si>
    <t>Cedric</t>
  </si>
  <si>
    <t>2.0L Inline-6</t>
  </si>
  <si>
    <t>Gloria</t>
  </si>
  <si>
    <t>2.5L V6</t>
  </si>
  <si>
    <t>Stanza</t>
  </si>
  <si>
    <t>Patrol Super Safari</t>
  </si>
  <si>
    <t>4.8L Inline-6</t>
  </si>
  <si>
    <t>Pathfinder Hybrid</t>
  </si>
  <si>
    <t>2.5L Inline-4 Hybrid</t>
  </si>
  <si>
    <t>X-Terra Pro-4X</t>
  </si>
  <si>
    <t>Rogue Platinum</t>
  </si>
  <si>
    <t>1.5L Turbo Inline-3</t>
  </si>
  <si>
    <t>Qashqai Tekna</t>
  </si>
  <si>
    <t>1.3L Turbo Hybrid Inline-4</t>
  </si>
  <si>
    <t>GT-R V-Spec</t>
  </si>
  <si>
    <t>Skyline NISMO</t>
  </si>
  <si>
    <t>Ariya Lounge Edition</t>
  </si>
  <si>
    <t>Patrol Titanium</t>
  </si>
  <si>
    <t>Infiniti FX50*</t>
  </si>
  <si>
    <t>5.0L V8</t>
  </si>
  <si>
    <t>Avenir</t>
  </si>
  <si>
    <t>Wingroad</t>
  </si>
  <si>
    <t>Presea</t>
  </si>
  <si>
    <t>Leopard</t>
  </si>
  <si>
    <t>3.0L V6</t>
  </si>
  <si>
    <t>Sunny NISMO Edition</t>
  </si>
  <si>
    <t>1.6L Turbo Inline-4</t>
  </si>
  <si>
    <t>Paladin</t>
  </si>
  <si>
    <t>2.4L Inline-4</t>
  </si>
  <si>
    <t>Hardbody SUV</t>
  </si>
  <si>
    <t>Patrol Desert Edition</t>
  </si>
  <si>
    <t>Pathfinder Armada</t>
  </si>
  <si>
    <t>Rogue Midnight Edition</t>
  </si>
  <si>
    <t>GT-R Black Edition</t>
  </si>
  <si>
    <t>Fairlady Z Heritage</t>
  </si>
  <si>
    <t>Skyline GT-R R34</t>
  </si>
  <si>
    <t>2.6L Twin-Turbo Inline-6</t>
  </si>
  <si>
    <t>Ariya Premiere</t>
  </si>
  <si>
    <t>Infiniti QX55*</t>
  </si>
  <si>
    <t>2.0L VC-Turbo Inline-4</t>
  </si>
  <si>
    <t>NV350 Caravan</t>
  </si>
  <si>
    <t>2.5L Inline-4 Diesel</t>
  </si>
  <si>
    <t>Navara</t>
  </si>
  <si>
    <t>2.3L Inline-4 Diesel</t>
  </si>
  <si>
    <t>Titan XD</t>
  </si>
  <si>
    <t>Evalia</t>
  </si>
  <si>
    <t>Cabstar</t>
  </si>
  <si>
    <t>Cherry</t>
  </si>
  <si>
    <t>1.4L Inline-4</t>
  </si>
  <si>
    <t>Laurel</t>
  </si>
  <si>
    <t>2.8L Inline-6 Diesel</t>
  </si>
  <si>
    <t>Silvia</t>
  </si>
  <si>
    <t>2.0L Turbo Inline-4</t>
  </si>
  <si>
    <t>NX Coupe</t>
  </si>
  <si>
    <t>AD Wagon</t>
  </si>
  <si>
    <t>Patrol Super Safari Y61</t>
  </si>
  <si>
    <t>Pathfinder Rock Creek Edition</t>
  </si>
  <si>
    <t>Terrano II</t>
  </si>
  <si>
    <t>2.7L Inline-4 Diesel</t>
  </si>
  <si>
    <t>Murano CrossCabriolet</t>
  </si>
  <si>
    <t>X-Trail Tekna</t>
  </si>
  <si>
    <t>1.5L Turbo Hybrid</t>
  </si>
  <si>
    <t>GT-R LM NISMO</t>
  </si>
  <si>
    <t>3.0L Twin-Turbo V6 Hybrid</t>
  </si>
  <si>
    <t>Skyline 400R</t>
  </si>
  <si>
    <t>Infiniti G37*</t>
  </si>
  <si>
    <t>Patrol Black Edition</t>
  </si>
  <si>
    <t>Ariya Empower+</t>
  </si>
  <si>
    <t>Datsun 510 (Classic)</t>
  </si>
  <si>
    <t>200SX</t>
  </si>
  <si>
    <t>300ZX</t>
  </si>
  <si>
    <t>R390 GT1 Road Car</t>
  </si>
  <si>
    <t>3.5L Twin-Turbo V8</t>
  </si>
  <si>
    <t>Figaro</t>
  </si>
  <si>
    <t>1.0L Turbo Inline-4</t>
  </si>
  <si>
    <t>Hardbody Truck</t>
  </si>
  <si>
    <t>Atlas</t>
  </si>
  <si>
    <t>3.0L Inline-4 Diesel</t>
  </si>
  <si>
    <t>Clipper</t>
  </si>
  <si>
    <t>660cc Inline-3</t>
  </si>
  <si>
    <t>NV200</t>
  </si>
  <si>
    <t>Violet</t>
  </si>
  <si>
    <t>Bluebird Z</t>
  </si>
  <si>
    <t>Stanza Wagon</t>
  </si>
  <si>
    <t>180SX</t>
  </si>
  <si>
    <t>Sunny California</t>
  </si>
  <si>
    <t>Patrol Warrior</t>
  </si>
  <si>
    <t>Pathfinder Armada Platinum</t>
  </si>
  <si>
    <t>Rogue Sport SL</t>
  </si>
  <si>
    <t>X-Trail Platinum Edition</t>
  </si>
  <si>
    <t>Qashqai e-Power</t>
  </si>
  <si>
    <t>1.5L Hybrid</t>
  </si>
  <si>
    <t>GT-R Egoist</t>
  </si>
  <si>
    <t>Infiniti M45*</t>
  </si>
  <si>
    <t>4.5L V8</t>
  </si>
  <si>
    <t>Skyline 50th Anniversary</t>
  </si>
  <si>
    <t>Ariya Dual Motor AWD</t>
  </si>
  <si>
    <t>Patrol Legend Edition</t>
  </si>
  <si>
    <t>Datsun 240Z (Classic)</t>
  </si>
  <si>
    <t>2.4L Inline-6</t>
  </si>
  <si>
    <t>100NX</t>
  </si>
  <si>
    <t>Cedric Special Edition</t>
  </si>
  <si>
    <t>300ZX Turbo</t>
  </si>
  <si>
    <t>Silvia S15 Spec-R</t>
  </si>
  <si>
    <t>NV400</t>
  </si>
  <si>
    <t>Titan Warrior</t>
  </si>
  <si>
    <t>Caravan Coach</t>
  </si>
  <si>
    <t>Serena e-Power</t>
  </si>
  <si>
    <t>1.2L Hybrid</t>
  </si>
  <si>
    <t>Elgrand</t>
  </si>
  <si>
    <t>Datsun 510</t>
  </si>
  <si>
    <t>Prairie</t>
  </si>
  <si>
    <t>Pulsar GTI-R</t>
  </si>
  <si>
    <t>Almera Tino</t>
  </si>
  <si>
    <t>Lucino</t>
  </si>
  <si>
    <t>Rasheen</t>
  </si>
  <si>
    <t>Mistral</t>
  </si>
  <si>
    <t>2.7L Turbo Diesel</t>
  </si>
  <si>
    <t>Patrol Y60</t>
  </si>
  <si>
    <t>4.2L Inline-6</t>
  </si>
  <si>
    <t>X-Trail GT</t>
  </si>
  <si>
    <t>Terrano Regulus</t>
  </si>
  <si>
    <t>President</t>
  </si>
  <si>
    <t>Cima</t>
  </si>
  <si>
    <t>4.1L V8</t>
  </si>
  <si>
    <t>Leopard J. Ferie</t>
  </si>
  <si>
    <t>3.0L V6 Turbo</t>
  </si>
  <si>
    <t>Gloria Gran Turismo</t>
  </si>
  <si>
    <t>Infiniti Q45*</t>
  </si>
  <si>
    <t>Datsun 240Z</t>
  </si>
  <si>
    <t>280ZX</t>
  </si>
  <si>
    <t>2.8L Inline-6</t>
  </si>
  <si>
    <t>Silvia S13</t>
  </si>
  <si>
    <t>1.8L Turbo Inline-4</t>
  </si>
  <si>
    <t>NV2500</t>
  </si>
  <si>
    <t>NV3500</t>
  </si>
  <si>
    <t>NT400 Cabstar</t>
  </si>
  <si>
    <t>Porsche</t>
  </si>
  <si>
    <t>Panamera</t>
  </si>
  <si>
    <t>2.9L V6 Twin Turbo</t>
  </si>
  <si>
    <t>Panamera 4</t>
  </si>
  <si>
    <t>Panamera 4S</t>
  </si>
  <si>
    <t>Panamera Turbo S</t>
  </si>
  <si>
    <t>4.0L V8 Twin Turbo</t>
  </si>
  <si>
    <t>Panamera GTS</t>
  </si>
  <si>
    <t>Panamera Platinum Edition</t>
  </si>
  <si>
    <t>Panamera E-Hybrid</t>
  </si>
  <si>
    <t>2.9L V6 + Electric Motor</t>
  </si>
  <si>
    <t>Panamera 4 E-Hybrid Sport Turismo</t>
  </si>
  <si>
    <t>Panamera Turbo S E-Hybrid</t>
  </si>
  <si>
    <t>4.0L V8 + Electric Motor</t>
  </si>
  <si>
    <t>Panamera 4 Executive</t>
  </si>
  <si>
    <t>Cayenne</t>
  </si>
  <si>
    <t>Cayenne Coupe</t>
  </si>
  <si>
    <t>Cayenne S</t>
  </si>
  <si>
    <t>Cayenne Turbo</t>
  </si>
  <si>
    <t>Cayenne GTS</t>
  </si>
  <si>
    <t>Cayenne Turbo S E-Hybrid</t>
  </si>
  <si>
    <t>Macan</t>
  </si>
  <si>
    <t>Macan S</t>
  </si>
  <si>
    <t>Macan GTS</t>
  </si>
  <si>
    <t>Macan T</t>
  </si>
  <si>
    <t>911 Carrera</t>
  </si>
  <si>
    <t>3.0L Flat-6 Twin Turbo</t>
  </si>
  <si>
    <t>911 Carrera S</t>
  </si>
  <si>
    <t>3.0L Twin-Turbo Flat-6</t>
  </si>
  <si>
    <t>911 Carrera 4</t>
  </si>
  <si>
    <t>911 Carrera 4S</t>
  </si>
  <si>
    <t>911 Targa 4</t>
  </si>
  <si>
    <t>911 Turbo</t>
  </si>
  <si>
    <t>3.8L Twin-Turbo Flat-6</t>
  </si>
  <si>
    <t>911 Turbo S</t>
  </si>
  <si>
    <t>911 GT3</t>
  </si>
  <si>
    <t>4.0L Naturally Aspirated Flat-6</t>
  </si>
  <si>
    <t>911 GT3 RS</t>
  </si>
  <si>
    <t>911 Dakar</t>
  </si>
  <si>
    <t>Taycan</t>
  </si>
  <si>
    <t>Taycan 4S</t>
  </si>
  <si>
    <t>Taycan Turbo</t>
  </si>
  <si>
    <t>Taycan Turbo S</t>
  </si>
  <si>
    <t>Taycan GTS</t>
  </si>
  <si>
    <t>Taycan Cross Turismo</t>
  </si>
  <si>
    <t>Taycan Sport Turismo</t>
  </si>
  <si>
    <t>718 Cayman</t>
  </si>
  <si>
    <t>2.0L Turbocharged Flat-4</t>
  </si>
  <si>
    <t>718 Cayman S</t>
  </si>
  <si>
    <t>2.5L Turbocharged Flat-4</t>
  </si>
  <si>
    <t>718 Cayman GT4</t>
  </si>
  <si>
    <t>718 Cayman GT4 RS</t>
  </si>
  <si>
    <t>718 Boxster</t>
  </si>
  <si>
    <t>2.0L Turbo Flat-4</t>
  </si>
  <si>
    <t>718 Boxster T</t>
  </si>
  <si>
    <t>718 Boxster GTS</t>
  </si>
  <si>
    <t>718 Spyder</t>
  </si>
  <si>
    <t>Panamera Base</t>
  </si>
  <si>
    <t>2.9L Twin-Turbo V6</t>
  </si>
  <si>
    <t>Panamera 4 E-Hybrid</t>
  </si>
  <si>
    <t>2.9L Twin-Turbo V6 + Electric Motor</t>
  </si>
  <si>
    <t>Panamera 4 Sport Turismo</t>
  </si>
  <si>
    <t>Panamera Turbo S E-Hybrid Sport Turismo</t>
  </si>
  <si>
    <t>4.0L Twin-Turbo V8 + Electric Motor</t>
  </si>
  <si>
    <t>Panamera 4S E-Hybrid Executive</t>
  </si>
  <si>
    <t>Panamera GTS Sport Turismo</t>
  </si>
  <si>
    <t>4.0L Twin-Turbo V8</t>
  </si>
  <si>
    <t>Panamera Turbo Executive</t>
  </si>
  <si>
    <t>Panamera Turbo S Exclusive Series</t>
  </si>
  <si>
    <t xml:space="preserve">Panamera 4S </t>
  </si>
  <si>
    <t>Macan Base</t>
  </si>
  <si>
    <t xml:space="preserve">Macan EV </t>
  </si>
  <si>
    <t>Cayenne Base</t>
  </si>
  <si>
    <t>3.0L Turbocharged V6</t>
  </si>
  <si>
    <t>Cayenne E-Hybrid</t>
  </si>
  <si>
    <t>3.0L V6 + Electric Motor</t>
  </si>
  <si>
    <t>Cayenne S Coupe</t>
  </si>
  <si>
    <t>Cayenne Turbo GT</t>
  </si>
  <si>
    <t>Cayenne Platinum Edition</t>
  </si>
  <si>
    <t>Cayenne Turbo S E-Hybrid Coupe</t>
  </si>
  <si>
    <t>Cayenne GTS Coupe</t>
  </si>
  <si>
    <t>Cayenne Diesel (Regional Markets)</t>
  </si>
  <si>
    <t>3.0L Turbo Diesel V6</t>
  </si>
  <si>
    <t>Cayenne S Hybrid</t>
  </si>
  <si>
    <t>Cayenne Coupe Turbo E-Hybrid</t>
  </si>
  <si>
    <t>Taycan Base</t>
  </si>
  <si>
    <t>Cadillac</t>
  </si>
  <si>
    <t>CT4</t>
  </si>
  <si>
    <t>2.0L Turbo Inline-4 Gasoline</t>
  </si>
  <si>
    <t>CT4-V</t>
  </si>
  <si>
    <t>2.7L Turbo Inline-4 Gasoline</t>
  </si>
  <si>
    <t>CT5</t>
  </si>
  <si>
    <t>CT5-V</t>
  </si>
  <si>
    <t>3.0L Twin-Turbo V6 Gasoline</t>
  </si>
  <si>
    <t>Taycan Cross Turismo 4</t>
  </si>
  <si>
    <t>Taycan Cross Turismo GTS</t>
  </si>
  <si>
    <t>Taycan Sport Turismo Base</t>
  </si>
  <si>
    <t>Taycan Sport Turismo GTS</t>
  </si>
  <si>
    <t>Taycan Turbo S Cross Turismo</t>
  </si>
  <si>
    <t>911 Carrera Base</t>
  </si>
  <si>
    <t>911 Carrera S Cabriolet</t>
  </si>
  <si>
    <t>911 Carrera 4 GTS</t>
  </si>
  <si>
    <t>911 Targa 4 GTS</t>
  </si>
  <si>
    <t>911 Turbo Cabriolet</t>
  </si>
  <si>
    <t>911 Turbo S Coupe</t>
  </si>
  <si>
    <t>911 GT3 Touring</t>
  </si>
  <si>
    <t>911 GT3 RS Clubsport</t>
  </si>
  <si>
    <t>911 Dakar Limited Edition</t>
  </si>
  <si>
    <t>911 Carrera GTS Lightweight</t>
  </si>
  <si>
    <t>911 Targa 4 Lightweight</t>
  </si>
  <si>
    <t>911 Turbo Exclusive Series</t>
  </si>
  <si>
    <t>911 GT2 RS</t>
  </si>
  <si>
    <t>911 GT3 Cup</t>
  </si>
  <si>
    <t>911 GT4 RS</t>
  </si>
  <si>
    <t>911 RSR (Motorsport Edition)</t>
  </si>
  <si>
    <t>4.2L Naturally Aspirated Flat-6</t>
  </si>
  <si>
    <t>911 Sport Turismo</t>
  </si>
  <si>
    <t>911 Turbo Cabriolet Lightweight</t>
  </si>
  <si>
    <t>911 Dakar Sport</t>
  </si>
  <si>
    <t>Tata Motors</t>
  </si>
  <si>
    <t>Tiago</t>
  </si>
  <si>
    <t>1.2L Revotron 3-cylinder Petrol</t>
  </si>
  <si>
    <t>Tiago EV</t>
  </si>
  <si>
    <t>Permanent Magnet Synchronous</t>
  </si>
  <si>
    <t>Altroz</t>
  </si>
  <si>
    <t>1.2L Revotron Petrol / 1.5L Diesel</t>
  </si>
  <si>
    <t>Altroz DCA</t>
  </si>
  <si>
    <t>Altroz iTurbo</t>
  </si>
  <si>
    <t>1.2L Turbocharged Petrol</t>
  </si>
  <si>
    <t>Altroz CNG</t>
  </si>
  <si>
    <t>1.2L Revotron Bi-Fuel</t>
  </si>
  <si>
    <t>CNG/Petrol</t>
  </si>
  <si>
    <t>Tiago NRG</t>
  </si>
  <si>
    <t>Nano GenX</t>
  </si>
  <si>
    <t>624cc MPFI</t>
  </si>
  <si>
    <t>Indica eV2</t>
  </si>
  <si>
    <t>1.4L CR4 Diesel</t>
  </si>
  <si>
    <t>Indica V2 Xeta</t>
  </si>
  <si>
    <t>1.2L MPFI Petrol</t>
  </si>
  <si>
    <t>Tigor</t>
  </si>
  <si>
    <t>Tigor EV</t>
  </si>
  <si>
    <t>Zest</t>
  </si>
  <si>
    <t>1.3L Quadrajet Diesel / 1.2L Revotron Petrol</t>
  </si>
  <si>
    <t>Indigo eCS</t>
  </si>
  <si>
    <t>Escalade</t>
  </si>
  <si>
    <t>6.2L V8 Gasoline</t>
  </si>
  <si>
    <t>Indigo Marina</t>
  </si>
  <si>
    <t>1.4L CR4 Diesel / 1.4L Petrol</t>
  </si>
  <si>
    <t>Manza</t>
  </si>
  <si>
    <t>1.3L Quadrajet Diesel / 1.4L Petrol</t>
  </si>
  <si>
    <t>Indigo LX</t>
  </si>
  <si>
    <t>Indigo GLX</t>
  </si>
  <si>
    <t>1.4L MPFI Petrol</t>
  </si>
  <si>
    <t>Escalade ESV</t>
  </si>
  <si>
    <t>Nexon</t>
  </si>
  <si>
    <t>1.2L Turbo Petrol / 1.5L Diesel</t>
  </si>
  <si>
    <t>Nexon EV Max</t>
  </si>
  <si>
    <t>Harrier</t>
  </si>
  <si>
    <t>2.0L Kryotec Turbocharged Diesel</t>
  </si>
  <si>
    <t>Safari</t>
  </si>
  <si>
    <t>Punch</t>
  </si>
  <si>
    <t>1.2L Revotron Petrol</t>
  </si>
  <si>
    <t>Hexa</t>
  </si>
  <si>
    <t>2.2L Varicor Diesel</t>
  </si>
  <si>
    <t>Aria</t>
  </si>
  <si>
    <t>2.2L Dicor Diesel</t>
  </si>
  <si>
    <t>Sumo Gold</t>
  </si>
  <si>
    <t>3.0L CR4 Diesel</t>
  </si>
  <si>
    <t>Sumo Grande</t>
  </si>
  <si>
    <t>Nexon EV Prime</t>
  </si>
  <si>
    <t>Tesla</t>
  </si>
  <si>
    <t>Model S</t>
  </si>
  <si>
    <t>Model S Plaid</t>
  </si>
  <si>
    <t>Tri Electric Motors</t>
  </si>
  <si>
    <t>Model 3</t>
  </si>
  <si>
    <t>Single Electric Motor (RWD)</t>
  </si>
  <si>
    <t>Model 3 Performance</t>
  </si>
  <si>
    <t>Dual Electric Motors (AWD)</t>
  </si>
  <si>
    <t>Model X</t>
  </si>
  <si>
    <t>Model X Plaid</t>
  </si>
  <si>
    <t>Model Y</t>
  </si>
  <si>
    <t>Model Y Long Range</t>
  </si>
  <si>
    <t>Cybertruck</t>
  </si>
  <si>
    <t>Roadster 2</t>
  </si>
  <si>
    <t>Quad Electric Motors</t>
  </si>
  <si>
    <t>Jeep</t>
  </si>
  <si>
    <t>Wrangler</t>
  </si>
  <si>
    <t>3.6L V6 Pentastar Gasoline</t>
  </si>
  <si>
    <t>Wrangler Rubicon</t>
  </si>
  <si>
    <t>2.0L Turbo I4 Gasoline</t>
  </si>
  <si>
    <t>Grand Cherokee</t>
  </si>
  <si>
    <t>Grand Cherokee L</t>
  </si>
  <si>
    <t>Cherokee</t>
  </si>
  <si>
    <t>2.4L I4 Tigershark Gasoline</t>
  </si>
  <si>
    <t>Compass</t>
  </si>
  <si>
    <t>2.0L Turbo Gasoline</t>
  </si>
  <si>
    <t>Renegade</t>
  </si>
  <si>
    <t>1.3L Turbo I4 Gasoline</t>
  </si>
  <si>
    <t>Gladiator</t>
  </si>
  <si>
    <t>Wagoneer</t>
  </si>
  <si>
    <t>5.7L V8 Gasoline with eTorque</t>
  </si>
  <si>
    <t>Grand Wagoneer</t>
  </si>
  <si>
    <t>6.4L V8 Gasoline</t>
  </si>
  <si>
    <t>Grand Cherokee 4xe</t>
  </si>
  <si>
    <t>2.0L Turbo PHEV</t>
  </si>
  <si>
    <t>Wrangler 4xe</t>
  </si>
  <si>
    <t>Compass 4xe</t>
  </si>
  <si>
    <t>1.3L Turbo PHEV</t>
  </si>
  <si>
    <t>Renegade 4xe</t>
  </si>
  <si>
    <t>Mazda</t>
  </si>
  <si>
    <t>Mazda2</t>
  </si>
  <si>
    <t>1.5L 4-Cylinder</t>
  </si>
  <si>
    <t>Wagoneer S (Electric)</t>
  </si>
  <si>
    <t>Gladiator Mojave Edition</t>
  </si>
  <si>
    <t>Grand Cherokee Summit Reserve</t>
  </si>
  <si>
    <t>5.7L V8 Gasoline</t>
  </si>
  <si>
    <t>Jeep Cherokee X Edition</t>
  </si>
  <si>
    <t>3.2L V6 Pentastar Gasoline</t>
  </si>
  <si>
    <t>Wrangler 392</t>
  </si>
  <si>
    <t>6.4L V8 HEMI Gasoline</t>
  </si>
  <si>
    <t>XT4</t>
  </si>
  <si>
    <t>XT5</t>
  </si>
  <si>
    <t>3.6L V6 Gasoline</t>
  </si>
  <si>
    <t>XT6</t>
  </si>
  <si>
    <t>Lyriq EV</t>
  </si>
  <si>
    <t>Single Electric Motor</t>
  </si>
  <si>
    <t>Escalade V</t>
  </si>
  <si>
    <t>6.2L Supercharged V8 Gasoline</t>
  </si>
  <si>
    <t>Escalade Platinum</t>
  </si>
  <si>
    <t>CT5-V Blackwing</t>
  </si>
  <si>
    <t>CT4-V Blackwing</t>
  </si>
  <si>
    <t>3.6L Twin-Turbo V6 Gasoline</t>
  </si>
  <si>
    <t>XT4 Sport</t>
  </si>
  <si>
    <t>XT5 Sport</t>
  </si>
  <si>
    <t>XT6 Sport</t>
  </si>
  <si>
    <t>Lyriq Launch Edition</t>
  </si>
  <si>
    <t>Lyriq EV Premium</t>
  </si>
  <si>
    <t>CT5 Premium Luxury</t>
  </si>
  <si>
    <t>Chevrolet</t>
  </si>
  <si>
    <t>Spark</t>
  </si>
  <si>
    <t>1.4L Inline-4 Gasoline</t>
  </si>
  <si>
    <t>Sonic</t>
  </si>
  <si>
    <t>1.4L Turbo Inline-4 Gasoline</t>
  </si>
  <si>
    <t>Malibu</t>
  </si>
  <si>
    <t>1.5L Turbo Inline-4 Gasoline</t>
  </si>
  <si>
    <t>Camaro</t>
  </si>
  <si>
    <t>Corvette</t>
  </si>
  <si>
    <t>Traverse</t>
  </si>
  <si>
    <t>Equinox</t>
  </si>
  <si>
    <t>Blazer</t>
  </si>
  <si>
    <t>Tahoe</t>
  </si>
  <si>
    <t>5.3L V8 Gasoline</t>
  </si>
  <si>
    <t>Suburban</t>
  </si>
  <si>
    <t>Colorado</t>
  </si>
  <si>
    <t>Silverado 1500</t>
  </si>
  <si>
    <t>Silverado 2500HD</t>
  </si>
  <si>
    <t>6.6L V8 Gasoline</t>
  </si>
  <si>
    <t>Silverado 3500HD</t>
  </si>
  <si>
    <t>6.6L V8 Diesel</t>
  </si>
  <si>
    <t>Bolt EV</t>
  </si>
  <si>
    <t>Bolt EUV</t>
  </si>
  <si>
    <t>Trailblazer</t>
  </si>
  <si>
    <t>1.3L Turbo Inline-3 Gasoline</t>
  </si>
  <si>
    <t>Malibu Premier</t>
  </si>
  <si>
    <t>Camaro ZL1</t>
  </si>
  <si>
    <t>Corvette Stingray</t>
  </si>
  <si>
    <t>Silverado 1500 High Country</t>
  </si>
  <si>
    <t>Silverado 1500 Trail Boss</t>
  </si>
  <si>
    <t>Silverado 1500 RST</t>
  </si>
  <si>
    <t>Colorado ZR2</t>
  </si>
  <si>
    <t>2.8L Turbo Diesel I4</t>
  </si>
  <si>
    <t>Traverse Premier</t>
  </si>
  <si>
    <t>Equinox Premier</t>
  </si>
  <si>
    <t>Blazer RS</t>
  </si>
  <si>
    <t>Bolt EV 2LT</t>
  </si>
  <si>
    <t>Camaro SS</t>
  </si>
  <si>
    <t>Corvette Grand Sport</t>
  </si>
  <si>
    <t>Traverse RS</t>
  </si>
  <si>
    <t>Blazer Premier</t>
  </si>
  <si>
    <t>Malibu LT</t>
  </si>
  <si>
    <t>Spark Activ</t>
  </si>
  <si>
    <t>Trax LT</t>
  </si>
  <si>
    <t>1.2L Turbo Inline-3 Gasoline</t>
  </si>
  <si>
    <t>Equinox LT</t>
  </si>
  <si>
    <t>Silverado 3500HD High Country</t>
  </si>
  <si>
    <t>Colorado WT</t>
  </si>
  <si>
    <t>Suburban High Country</t>
  </si>
  <si>
    <t>Silverado Custom</t>
  </si>
  <si>
    <t>4.3L V6 Gasoline</t>
  </si>
  <si>
    <t>Spark LS</t>
  </si>
  <si>
    <t>Traverse LT</t>
  </si>
  <si>
    <t>Blazer LT</t>
  </si>
  <si>
    <t>2.5L Inline-4 Gasoline</t>
  </si>
  <si>
    <t>Equinox RS</t>
  </si>
  <si>
    <t>Silverado 1500 Custom</t>
  </si>
  <si>
    <t>Silverado 2500HD LTZ</t>
  </si>
  <si>
    <t>Tahoe RST</t>
  </si>
  <si>
    <t>Suburban LT</t>
  </si>
  <si>
    <t>Bolt EV Premier</t>
  </si>
  <si>
    <t>Tahoe LS</t>
  </si>
  <si>
    <t>Tahoe LT</t>
  </si>
  <si>
    <t>Tahoe Z71</t>
  </si>
  <si>
    <t>Tahoe Premier</t>
  </si>
  <si>
    <t>Tahoe High Country</t>
  </si>
  <si>
    <t>Tahoe Midnight Edition</t>
  </si>
  <si>
    <t>Tahoe Sport Edition</t>
  </si>
  <si>
    <t>Gmc</t>
  </si>
  <si>
    <t>Terrain</t>
  </si>
  <si>
    <t>1.5L Turbo 4-cylinder</t>
  </si>
  <si>
    <t>Acadia</t>
  </si>
  <si>
    <t>2.0L Turbo 4-cylinder</t>
  </si>
  <si>
    <t>Yukon</t>
  </si>
  <si>
    <t>Yukon XL</t>
  </si>
  <si>
    <t>Canyon</t>
  </si>
  <si>
    <t>2.7L Turbo 4-cylinder</t>
  </si>
  <si>
    <t>Sierra 1500</t>
  </si>
  <si>
    <t>Sierra 2500HD</t>
  </si>
  <si>
    <t>Sierra 3500HD</t>
  </si>
  <si>
    <t>Hummer EV Pickup</t>
  </si>
  <si>
    <t>Dual-Motor Electric</t>
  </si>
  <si>
    <t>Hummer EV SUV</t>
  </si>
  <si>
    <t>Yukon Denali</t>
  </si>
  <si>
    <t>Sierra Denali</t>
  </si>
  <si>
    <t>Terrain AT4</t>
  </si>
  <si>
    <t>Acadia AT4</t>
  </si>
  <si>
    <t>Sierra 1500 AT4</t>
  </si>
  <si>
    <t>Sierra 2500HD Denali</t>
  </si>
  <si>
    <t>Sierra Elevation</t>
  </si>
  <si>
    <t>Canyon AT4</t>
  </si>
  <si>
    <t>Canyon Denali</t>
  </si>
  <si>
    <t>Yukon XL Denali Ultimate</t>
  </si>
  <si>
    <t>Terrain Denali</t>
  </si>
  <si>
    <t>Acadia Denali</t>
  </si>
  <si>
    <t>3.6L V6 engine</t>
  </si>
  <si>
    <t>Yukon AT4</t>
  </si>
  <si>
    <t>5.3L V8 engine</t>
  </si>
  <si>
    <t>Yukon XL AT4</t>
  </si>
  <si>
    <t>Sierra 1500 Elevation</t>
  </si>
  <si>
    <t>2.7L Turbo engine</t>
  </si>
  <si>
    <t>Sierra 1500 SLT</t>
  </si>
  <si>
    <t>Sierra 2500HD AT4</t>
  </si>
  <si>
    <t>6.6L V8 engine</t>
  </si>
  <si>
    <t>Sierra 3500HD AT4</t>
  </si>
  <si>
    <t>Canyon Elevation</t>
  </si>
  <si>
    <t>2.5L I4 engine</t>
  </si>
  <si>
    <t>Canyon Denali Black Edition</t>
  </si>
  <si>
    <t>Sierra 1500 Denali Ultimate</t>
  </si>
  <si>
    <t>6.2L V8 engine</t>
  </si>
  <si>
    <t>Yukon XL Denali Reserve</t>
  </si>
  <si>
    <t>Terrain Elevation Edition</t>
  </si>
  <si>
    <t>1.5L Turbocharged I4 engine</t>
  </si>
  <si>
    <t>Acadia Black Edition</t>
  </si>
  <si>
    <t>Hummer EV SUV Edition 1</t>
  </si>
  <si>
    <t>Electric motors with up to 11,500 lb-ft torque</t>
  </si>
  <si>
    <t>Hummer EV Pickup Edition 1</t>
  </si>
  <si>
    <t>Sierra Denali CarbonPro</t>
  </si>
  <si>
    <t>Yukon Denali Performance</t>
  </si>
  <si>
    <t>Sierra 2500HD Denali Black Edition</t>
  </si>
  <si>
    <t>Canyon AT4X</t>
  </si>
  <si>
    <t>Yukon XL SLT</t>
  </si>
  <si>
    <t>Sierra 1500 Pro</t>
  </si>
  <si>
    <t>4.3L V6 engine</t>
  </si>
  <si>
    <t>Sierra 2500HD Pro</t>
  </si>
  <si>
    <t>Sierra 3500HD Pro</t>
  </si>
  <si>
    <t>Terrain SLT</t>
  </si>
  <si>
    <t>Acadia SLE</t>
  </si>
  <si>
    <t>Canyon SLT</t>
  </si>
  <si>
    <t>Yukon XL Elevation</t>
  </si>
  <si>
    <t>Sierra 1500 AT4X</t>
  </si>
  <si>
    <t>Hummer EV SUV Extreme Off-Road</t>
  </si>
  <si>
    <t>Sierra EV Denali</t>
  </si>
  <si>
    <t>Electric motors with advanced AWD</t>
  </si>
  <si>
    <t>Hummer EV Omega Edition</t>
  </si>
  <si>
    <t>Canyon AT4X Edition 1</t>
  </si>
  <si>
    <t>Yukon Denali Ultimate Black</t>
  </si>
  <si>
    <t>Sierra HD Denali Reserve</t>
  </si>
  <si>
    <t>Acadia Denali Ultimate</t>
  </si>
  <si>
    <t>Terrain All-Terrain Edition</t>
  </si>
  <si>
    <t>Yukon Trailering Edition</t>
  </si>
  <si>
    <t>Hummer EV Adventure Series</t>
  </si>
  <si>
    <t>Rio</t>
  </si>
  <si>
    <t>1.6L 4-Cylinder</t>
  </si>
  <si>
    <t>Rio 5-Door</t>
  </si>
  <si>
    <t>Seltos Nightfall Edition</t>
  </si>
  <si>
    <t>1.6L Turbocharged 4-Cylinder</t>
  </si>
  <si>
    <t>Peugeot</t>
  </si>
  <si>
    <t>508 PSE (Peugeot Sport Engineered)</t>
  </si>
  <si>
    <t>Hybrid I4 + Electric Motor</t>
  </si>
  <si>
    <t>Sorento X-Line</t>
  </si>
  <si>
    <t>2.5L Turbocharged 4-Cylinder</t>
  </si>
  <si>
    <t>Telluride SX</t>
  </si>
  <si>
    <t>Forte LXS</t>
  </si>
  <si>
    <t>2.0L 4-Cylinder</t>
  </si>
  <si>
    <t>K5 EX</t>
  </si>
  <si>
    <t>Niro Plug-In Hybrid</t>
  </si>
  <si>
    <t>1.6L 4-Cylinder Hybrid</t>
  </si>
  <si>
    <t>EV6 Wind</t>
  </si>
  <si>
    <t>Soul Turbo</t>
  </si>
  <si>
    <t>Seltos SX</t>
  </si>
  <si>
    <t>Stinger Scorpion Edition</t>
  </si>
  <si>
    <t>Sorento Hybrid SX Prestige</t>
  </si>
  <si>
    <t>1.6L Hybrid Turbocharged 4-Cylinder</t>
  </si>
  <si>
    <t>Carnival EX</t>
  </si>
  <si>
    <t>Telluride Nightfall Edition</t>
  </si>
  <si>
    <t>508 Plug-In Hybrid</t>
  </si>
  <si>
    <t>EV6 First Edition</t>
  </si>
  <si>
    <t>Niro Touring</t>
  </si>
  <si>
    <t>Forte GT-Line</t>
  </si>
  <si>
    <t>Seltos EX</t>
  </si>
  <si>
    <t>3008 Plug-In Hybrid</t>
  </si>
  <si>
    <t>Sorento LX</t>
  </si>
  <si>
    <t>2.5L 4-Cylinder</t>
  </si>
  <si>
    <t>Telluride EX</t>
  </si>
  <si>
    <t>Soul EX</t>
  </si>
  <si>
    <t>Forte FE</t>
  </si>
  <si>
    <t>K5 GT-Line</t>
  </si>
  <si>
    <t>Carnival LXS</t>
  </si>
  <si>
    <t>EV6 Light</t>
  </si>
  <si>
    <t>Niro EX</t>
  </si>
  <si>
    <t>Stinger GT</t>
  </si>
  <si>
    <t>3.3L Turbocharged V6</t>
  </si>
  <si>
    <t>Sorento SX Prestige</t>
  </si>
  <si>
    <t>2.5L Hybrid Turbocharged 4-Cylinder</t>
  </si>
  <si>
    <t>Telluride SX Prestige</t>
  </si>
  <si>
    <t>508 Hybrid4</t>
  </si>
  <si>
    <t>EV6 GT Performance</t>
  </si>
  <si>
    <t>Niro SX Touring</t>
  </si>
  <si>
    <t>Carnival SX Prestige</t>
  </si>
  <si>
    <t>Seltos SX Turbo</t>
  </si>
  <si>
    <t>Forte EX Premium</t>
  </si>
  <si>
    <t>Soul EX Designer Edition</t>
  </si>
  <si>
    <t>Rio S</t>
  </si>
  <si>
    <t>Rio 5-Door S</t>
  </si>
  <si>
    <t>Soul S</t>
  </si>
  <si>
    <t>Seltos LX</t>
  </si>
  <si>
    <t>3008 Hybrid4</t>
  </si>
  <si>
    <t>Hybrid I4+ Electric Motor</t>
  </si>
  <si>
    <t>Sorento Hybrid EX</t>
  </si>
  <si>
    <t>Telluride LX</t>
  </si>
  <si>
    <t>Carnival MPV EX</t>
  </si>
  <si>
    <t>EV6 AWD GT-Line</t>
  </si>
  <si>
    <t>Forte GT Turbo</t>
  </si>
  <si>
    <t>Soul GT Designer Edition</t>
  </si>
  <si>
    <t>Seltos X-Line Turbo</t>
  </si>
  <si>
    <t>e-2008 GT</t>
  </si>
  <si>
    <t>Telluride Limited Edition</t>
  </si>
  <si>
    <t>Stinger GT-Line</t>
  </si>
  <si>
    <t>Carnival Special Edition</t>
  </si>
  <si>
    <t>Niro SX Hybrid</t>
  </si>
  <si>
    <t>EV6 First Edition AWD</t>
  </si>
  <si>
    <t>Sorento X-Pro Hybrid</t>
  </si>
  <si>
    <t>Forte Limited Edition</t>
  </si>
  <si>
    <t>Bugatti</t>
  </si>
  <si>
    <t>Chiron</t>
  </si>
  <si>
    <t>8.0L Quad-Turbo W16</t>
  </si>
  <si>
    <t>Chiron Pur Sport</t>
  </si>
  <si>
    <t>Chiron Super Sport</t>
  </si>
  <si>
    <t>Chiron Sport</t>
  </si>
  <si>
    <t>Chiron Noire</t>
  </si>
  <si>
    <t>Divo</t>
  </si>
  <si>
    <t>Centodieci</t>
  </si>
  <si>
    <t>La Voiture Noire</t>
  </si>
  <si>
    <t>Bolide</t>
  </si>
  <si>
    <t>Volvo FH</t>
  </si>
  <si>
    <t>13.0L I6 Turbo Diesel</t>
  </si>
  <si>
    <t>Volvo FH16</t>
  </si>
  <si>
    <t>16.1L I6 Turbo Diesel</t>
  </si>
  <si>
    <t>Volvo FM</t>
  </si>
  <si>
    <t>12.8L I6 Turbo Diesel</t>
  </si>
  <si>
    <t>Volvo FMX</t>
  </si>
  <si>
    <t>Volvo VNL</t>
  </si>
  <si>
    <t>Volvo VNR</t>
  </si>
  <si>
    <t>Volvo VHD</t>
  </si>
  <si>
    <t>Volvo FE</t>
  </si>
  <si>
    <t>7.7L I6 Turbo Diesel</t>
  </si>
  <si>
    <t>Volvo FL</t>
  </si>
  <si>
    <t>5.1L I4 Turbo Diesel</t>
  </si>
  <si>
    <t>Jaguar Land Rover</t>
  </si>
  <si>
    <t>Jaguar F-Type</t>
  </si>
  <si>
    <t>V6 / V8 Petrol</t>
  </si>
  <si>
    <t>Jaguar XE</t>
  </si>
  <si>
    <t>I4 Petrol</t>
  </si>
  <si>
    <t>Jaguar XF</t>
  </si>
  <si>
    <t>Jaguar XJ</t>
  </si>
  <si>
    <t>V6 Petrol</t>
  </si>
  <si>
    <t>Jaguar E-PACE</t>
  </si>
  <si>
    <t>Jaguar I-PACE</t>
  </si>
  <si>
    <t>Electric (Dual Motor)</t>
  </si>
  <si>
    <t>Jaguar F-PACE</t>
  </si>
  <si>
    <t>I4 Petrol / V6 Petrol</t>
  </si>
  <si>
    <t>Jaguar X-TYPE</t>
  </si>
  <si>
    <t>Jaguar F-PACE R-Dynamic</t>
  </si>
  <si>
    <t>Jaguar XE R-Dynamic</t>
  </si>
  <si>
    <t>Jaguar F-Type SVR</t>
  </si>
  <si>
    <t>V8 Petrol</t>
  </si>
  <si>
    <t>Jaguar I-PACE Electric Performance</t>
  </si>
  <si>
    <t>Jaguar F-PACE SVR</t>
  </si>
  <si>
    <t>Jaguar XE S</t>
  </si>
  <si>
    <t>Jaguar XF R-Dynamic</t>
  </si>
  <si>
    <t>Jaguar XJ LWB (Long Wheelbase)</t>
  </si>
  <si>
    <t>Jaguar F-Type Heritage Edition</t>
  </si>
  <si>
    <t>Jaguar E-PACE S</t>
  </si>
  <si>
    <t>Jaguar I-PACE HSE</t>
  </si>
  <si>
    <t>Jaguar F-Type V8 R</t>
  </si>
  <si>
    <t>Jaguar F-Type R-Dynamic</t>
  </si>
  <si>
    <t>Jaguar XE P300 R-Dynamic</t>
  </si>
  <si>
    <t>Jaguar XF Sportbrake</t>
  </si>
  <si>
    <t>Jaguar I-PACE EV400 HSE</t>
  </si>
  <si>
    <t>Jaguar F-PACE S 30t AWD</t>
  </si>
  <si>
    <t>Jaguar E-PACE R-Dynamic</t>
  </si>
  <si>
    <t>Jaguar XJ50</t>
  </si>
  <si>
    <t>Jaguar F-Type 75th Anniversary Edition</t>
  </si>
  <si>
    <t>Jaguar F-PACE S AWD</t>
  </si>
  <si>
    <t>Jaguar XE SE</t>
  </si>
  <si>
    <t>Jaguar F-Type V6 S Convertible</t>
  </si>
  <si>
    <t>Jaguar XE R-Sport AWD</t>
  </si>
  <si>
    <t>Jaguar XF Portfolio AWD</t>
  </si>
  <si>
    <t>Jaguar F-Type Coupe R</t>
  </si>
  <si>
    <t>Jaguar I-PACE First Edition</t>
  </si>
  <si>
    <t>Jaguar F-PACE Prestige AWD</t>
  </si>
  <si>
    <t>Jaguar XJ Supercharged</t>
  </si>
  <si>
    <t>Jaguar F-Type P450 AWD</t>
  </si>
  <si>
    <t>Jaguar F-PACE P400e Plug-in Hybrid</t>
  </si>
  <si>
    <t>I4 Petrol + Electric Motor</t>
  </si>
  <si>
    <t>Jaguar F-Type P300 Coupe</t>
  </si>
  <si>
    <t>Acura</t>
  </si>
  <si>
    <t>NSX Type S</t>
  </si>
  <si>
    <t>Twin-Turbo V6 Hybrid</t>
  </si>
  <si>
    <t>TLX PMC Edition</t>
  </si>
  <si>
    <t>MDX Advance</t>
  </si>
  <si>
    <t>RDX Technology</t>
  </si>
  <si>
    <t>I4 Turbocharged</t>
  </si>
  <si>
    <t>ILX Premium</t>
  </si>
  <si>
    <t>TLX A-Spec</t>
  </si>
  <si>
    <t>RDX SH-AWD</t>
  </si>
  <si>
    <t>MDX SH-AWD</t>
  </si>
  <si>
    <t>RDX Platinum Elite</t>
  </si>
  <si>
    <t>TLX A-Spec Sedan</t>
  </si>
  <si>
    <t>TLX 2.4L</t>
  </si>
  <si>
    <t>Inline-4</t>
  </si>
  <si>
    <t>MDX Hybrid</t>
  </si>
  <si>
    <t>V6 Hybrid</t>
  </si>
  <si>
    <t>RDX Hybrid</t>
  </si>
  <si>
    <t>Inline-4 Hybrid</t>
  </si>
  <si>
    <t>ILX Technology Package</t>
  </si>
  <si>
    <t>NSX GT3 (Track Version)</t>
  </si>
  <si>
    <t>RDX Turbo AWD</t>
  </si>
  <si>
    <t>Inline-4 Turbocharged</t>
  </si>
  <si>
    <t>TLX 3.5L V6</t>
  </si>
  <si>
    <t>ILX Special Edition</t>
  </si>
  <si>
    <t>MDX SH-AWD w/Technology Package</t>
  </si>
  <si>
    <t>NSX 3.5L Hybrid Coupe</t>
  </si>
  <si>
    <t>MDX Elite</t>
  </si>
  <si>
    <t>TLX V6 Advance</t>
  </si>
  <si>
    <t>NSX Carbon Edition</t>
  </si>
  <si>
    <t>RDX Turbo SH-AWD</t>
  </si>
  <si>
    <t>Turbocharged I4</t>
  </si>
  <si>
    <t>ILX Technology Plus</t>
  </si>
  <si>
    <t>TLX Type S PMC Edition</t>
  </si>
  <si>
    <t>Turbocharged V6</t>
  </si>
  <si>
    <t>MDX Sport Hybrid</t>
  </si>
  <si>
    <t>208</t>
  </si>
  <si>
    <t>2008</t>
  </si>
  <si>
    <t>301</t>
  </si>
  <si>
    <t>308</t>
  </si>
  <si>
    <t>3008</t>
  </si>
  <si>
    <t>5008</t>
  </si>
  <si>
    <t>508</t>
  </si>
  <si>
    <t>Partner</t>
  </si>
  <si>
    <t>Diesel I4</t>
  </si>
  <si>
    <t>Expert</t>
  </si>
  <si>
    <t>Boxer</t>
  </si>
  <si>
    <t>e-208</t>
  </si>
  <si>
    <t>e-2008</t>
  </si>
  <si>
    <t>208 GTI</t>
  </si>
  <si>
    <t>308 GTI</t>
  </si>
  <si>
    <t>308 Allure</t>
  </si>
  <si>
    <t>2008 Allure</t>
  </si>
  <si>
    <t>3008 Allure</t>
  </si>
  <si>
    <t>5008 Allure</t>
  </si>
  <si>
    <t>508 Allure</t>
  </si>
  <si>
    <t>3008 GT</t>
  </si>
  <si>
    <t>508 GT</t>
  </si>
  <si>
    <t>3008 GT Hybrid</t>
  </si>
  <si>
    <t>Hybrid I4</t>
  </si>
  <si>
    <t>5008 GT Hybrid</t>
  </si>
  <si>
    <t>208 Allure Premium</t>
  </si>
  <si>
    <t>Partner Tepee</t>
  </si>
  <si>
    <t>Expert L2H1</t>
  </si>
  <si>
    <t>Boxer L2H2</t>
  </si>
  <si>
    <t>Partner Electric</t>
  </si>
  <si>
    <t>Expert Electric</t>
  </si>
  <si>
    <t>208 PSE (Peugeot Sport Engineered)</t>
  </si>
  <si>
    <t>308 PSE</t>
  </si>
  <si>
    <t>508 PSE</t>
  </si>
  <si>
    <t>3008 PSE</t>
  </si>
  <si>
    <t>2008 Active</t>
  </si>
  <si>
    <t>3008 Active</t>
  </si>
  <si>
    <t>5008 Active</t>
  </si>
  <si>
    <t>3008 Allure Premium</t>
  </si>
  <si>
    <t>5008 Allure Premium</t>
  </si>
  <si>
    <t>3008 GT Line</t>
  </si>
  <si>
    <t>5008 GT Line</t>
  </si>
  <si>
    <t>2008 GT</t>
  </si>
  <si>
    <t>5008 GT</t>
  </si>
  <si>
    <t>508 SW (Station Wagon)</t>
  </si>
  <si>
    <t>508 Saloon</t>
  </si>
  <si>
    <t>308 Saloon</t>
  </si>
  <si>
    <t>301 Sedan</t>
  </si>
  <si>
    <t>208 Sedan</t>
  </si>
  <si>
    <t>Fusion (Mondeo)</t>
  </si>
  <si>
    <t>1.5L EcoBoost / 2.0L Hybrid</t>
  </si>
  <si>
    <t>Taurus</t>
  </si>
  <si>
    <t>3.5L V6 / 2.0L EcoBoost</t>
  </si>
  <si>
    <t>Fiesta</t>
  </si>
  <si>
    <t>1.0L EcoBoost / 1.5L</t>
  </si>
  <si>
    <t>Focus</t>
  </si>
  <si>
    <t>1.0L EcoBoost / 1.5L / 2.0L</t>
  </si>
  <si>
    <t>EcoSport</t>
  </si>
  <si>
    <t>1.0L Turbo Inline-3 / 2.0L</t>
  </si>
  <si>
    <t>Escape (Kuga)</t>
  </si>
  <si>
    <t>1.5L EcoBoost / 2.5L Hybrid</t>
  </si>
  <si>
    <t>Edge</t>
  </si>
  <si>
    <t>2.0L EcoBoost / 2.7L V6</t>
  </si>
  <si>
    <t>Explorer</t>
  </si>
  <si>
    <t>2.3L EcoBoost / 3.0L V6</t>
  </si>
  <si>
    <t>Expedition</t>
  </si>
  <si>
    <t>3.5L EcoBoost / 5.4L V8</t>
  </si>
  <si>
    <t>Bronco</t>
  </si>
  <si>
    <t>2.3L EcoBoost / 2.7L V6</t>
  </si>
  <si>
    <t>Bronco Sport</t>
  </si>
  <si>
    <t>1.5L EcoBoost / 2.0L EcoBoost</t>
  </si>
  <si>
    <t>F-150</t>
  </si>
  <si>
    <t>3.3L V6 / 5.0L V8 / 3.5L EcoBoost</t>
  </si>
  <si>
    <t>F-250 Super Duty</t>
  </si>
  <si>
    <t>6.2L V8 / 7.3L V8 / 6.7L Turbo-Diesel</t>
  </si>
  <si>
    <t>F-350 Super Duty</t>
  </si>
  <si>
    <t>6.7L Turbo-Diesel / 7.3L V8</t>
  </si>
  <si>
    <t>Maverick</t>
  </si>
  <si>
    <t>2.5L Hybrid / 2.0L EcoBoost</t>
  </si>
  <si>
    <t>Ranger</t>
  </si>
  <si>
    <t>2.3L Turbo Inline-4 / 2.7L V6</t>
  </si>
  <si>
    <t>Mustang Mach-E</t>
  </si>
  <si>
    <t>F-150 Lightning</t>
  </si>
  <si>
    <t>Escape Hybrid</t>
  </si>
  <si>
    <t>2.5L Inline-4 + Electric</t>
  </si>
  <si>
    <t>Explorer Hybrid</t>
  </si>
  <si>
    <t>3.3L V6 + Electric</t>
  </si>
  <si>
    <t>Mustang</t>
  </si>
  <si>
    <t>GT</t>
  </si>
  <si>
    <t>3.5L Twin-Turbo V6</t>
  </si>
  <si>
    <t>Focus ST</t>
  </si>
  <si>
    <t>2.3L Turbo Inline-4</t>
  </si>
  <si>
    <t>Fiesta ST</t>
  </si>
  <si>
    <t>Bronco Raptor</t>
  </si>
  <si>
    <t>Ranger Raptor</t>
  </si>
  <si>
    <t>2.7L Twin-Turbo V6</t>
  </si>
  <si>
    <t>F-150 Raptor</t>
  </si>
  <si>
    <t>Puma</t>
  </si>
  <si>
    <t>Turbocharged Inline-3</t>
  </si>
  <si>
    <t>Territory</t>
  </si>
  <si>
    <t>Turbocharged Inline-4</t>
  </si>
  <si>
    <t>Everest</t>
  </si>
  <si>
    <t>Flex</t>
  </si>
  <si>
    <t>Naturally Aspirated V6</t>
  </si>
  <si>
    <t>Transit</t>
  </si>
  <si>
    <t>EcoBlue Turbo Diesel</t>
  </si>
  <si>
    <t>Transit Connect</t>
  </si>
  <si>
    <t>Inline-4 Gasoline Engine</t>
  </si>
  <si>
    <t>F-450 Super Duty</t>
  </si>
  <si>
    <t>Turbocharged V8 Diesel</t>
  </si>
  <si>
    <t>F-550 Super Duty</t>
  </si>
  <si>
    <t>Mustang Shelby GT500</t>
  </si>
  <si>
    <t>Supercharged V8</t>
  </si>
  <si>
    <t>Mustang Shelby GT350</t>
  </si>
  <si>
    <t>Naturally Aspirated V8</t>
  </si>
  <si>
    <t>F-150 Platinum</t>
  </si>
  <si>
    <t>F-150 Limited</t>
  </si>
  <si>
    <t>Explorer Platinum</t>
  </si>
  <si>
    <t>Expedition King Ranch</t>
  </si>
  <si>
    <t>Transit Custom</t>
  </si>
  <si>
    <t>E-Series Cutaway</t>
  </si>
  <si>
    <t>V8 Gasoline Engine</t>
  </si>
  <si>
    <t>Transit Chassis Cab</t>
  </si>
  <si>
    <t>Transit Electric (E-Transit)</t>
  </si>
  <si>
    <t>Explorer Plug-in Hybrid</t>
  </si>
  <si>
    <t>V6 Hybrid + Electric Motor</t>
  </si>
  <si>
    <t>Maverick Hybrid</t>
  </si>
  <si>
    <t>I4 Hybrid</t>
  </si>
  <si>
    <t>Mustang (2024)</t>
  </si>
  <si>
    <t>Ranger (2024)</t>
  </si>
  <si>
    <t>I4 Turbo Diesel</t>
  </si>
  <si>
    <t>Escape Plug-in Hybrid (2024)</t>
  </si>
  <si>
    <t>Bronco (2024)</t>
  </si>
  <si>
    <t>V6 EcoBoost</t>
  </si>
  <si>
    <t>Explorer (2024)</t>
  </si>
  <si>
    <t>V6 Turbocharged</t>
  </si>
  <si>
    <t>Mitsubishi</t>
  </si>
  <si>
    <t>Mirage</t>
  </si>
  <si>
    <t>1.2L MIVEC</t>
  </si>
  <si>
    <t>Mirage G4</t>
  </si>
  <si>
    <t>Outlander</t>
  </si>
  <si>
    <t>Outlander PHEV</t>
  </si>
  <si>
    <t>2.4L Hybrid</t>
  </si>
  <si>
    <t>Eclipse Cross</t>
  </si>
  <si>
    <t>1.5L Turbo</t>
  </si>
  <si>
    <t>ASX (Outlander Sport)</t>
  </si>
  <si>
    <t>2.0L MIVEC</t>
  </si>
  <si>
    <t>Pajero</t>
  </si>
  <si>
    <t>3.2L Diesel Turbo</t>
  </si>
  <si>
    <t>Pajero Sport</t>
  </si>
  <si>
    <t>2.4L Diesel Turbo</t>
  </si>
  <si>
    <t>Triton (L200)</t>
  </si>
  <si>
    <t>Lancer Evolution X</t>
  </si>
  <si>
    <t>2.0L Turbocharged</t>
  </si>
  <si>
    <t>i-MiEV (Electric)</t>
  </si>
  <si>
    <t>Xpander</t>
  </si>
  <si>
    <t>1.5L MIVEC</t>
  </si>
  <si>
    <t>Delica D:5</t>
  </si>
  <si>
    <t>2.2L Diesel Turbo</t>
  </si>
  <si>
    <t>Colt</t>
  </si>
  <si>
    <t>1.1L / 1.5L MIVEC</t>
  </si>
  <si>
    <t>Grandis</t>
  </si>
  <si>
    <t>2.4L MIVEC</t>
  </si>
  <si>
    <t>Outlander Black Edition</t>
  </si>
  <si>
    <t>Outlander SEL</t>
  </si>
  <si>
    <t>Outlander SE</t>
  </si>
  <si>
    <t>Eclipse Cross Black Edition</t>
  </si>
  <si>
    <t>ASX Exceed</t>
  </si>
  <si>
    <t>Triton Athlete</t>
  </si>
  <si>
    <t>Pajero Final Edition</t>
  </si>
  <si>
    <t>L200 Barbarian X</t>
  </si>
  <si>
    <t>Space Star</t>
  </si>
  <si>
    <t>Lancer EX</t>
  </si>
  <si>
    <t>1.6L MIVEC / 2.0L</t>
  </si>
  <si>
    <t>Montero Sport</t>
  </si>
  <si>
    <t>Attrage</t>
  </si>
  <si>
    <t>RVR SE</t>
  </si>
  <si>
    <t>Delica Van</t>
  </si>
  <si>
    <t>2.0L Diesel / 2.2L Diesel</t>
  </si>
  <si>
    <t>Canter (Truck)</t>
  </si>
  <si>
    <t>3.0L Diesel</t>
  </si>
  <si>
    <t>Lancer GLX</t>
  </si>
  <si>
    <t>1.6L MIVEC</t>
  </si>
  <si>
    <t>Pajero GLS</t>
  </si>
  <si>
    <t>Xpander Cross</t>
  </si>
  <si>
    <t>Eclipse Cross PHEV</t>
  </si>
  <si>
    <t>2.4L PHEV</t>
  </si>
  <si>
    <t>Outlander ES</t>
  </si>
  <si>
    <t>Montero GLX</t>
  </si>
  <si>
    <t>Triton GLX-R</t>
  </si>
  <si>
    <t>ASX Dynamic</t>
  </si>
  <si>
    <t>Mirage ES</t>
  </si>
  <si>
    <t>Outlander LE</t>
  </si>
  <si>
    <t>Fuso Fighter (Truck)</t>
  </si>
  <si>
    <t>7.5L Diesel</t>
  </si>
  <si>
    <t>Fuso Canter Eco Hybrid</t>
  </si>
  <si>
    <t>3.0L Diesel Hybrid</t>
  </si>
  <si>
    <t>Diesel Hybrid</t>
  </si>
  <si>
    <t>Space Runner</t>
  </si>
  <si>
    <t>1.8L MIVEC</t>
  </si>
  <si>
    <t>Toppo BJ</t>
  </si>
  <si>
    <t>0.7L 3-Cylinder</t>
  </si>
  <si>
    <t>Chariot</t>
  </si>
  <si>
    <t>Lancer SE Limited</t>
  </si>
  <si>
    <t>Pajero SWB (Short Wheel Base)</t>
  </si>
  <si>
    <t>Delica Space Gear</t>
  </si>
  <si>
    <t>2.4L Petrol</t>
  </si>
  <si>
    <t>i (Kei Car)</t>
  </si>
  <si>
    <t>Dion</t>
  </si>
  <si>
    <t>Airtrek</t>
  </si>
  <si>
    <t>2.4L 4-Cylinder</t>
  </si>
  <si>
    <t>eK Space</t>
  </si>
  <si>
    <t>eK X</t>
  </si>
  <si>
    <t>Colt CZC Convertible</t>
  </si>
  <si>
    <t>1.5L Turbocharged</t>
  </si>
  <si>
    <t>Galant Fortis</t>
  </si>
  <si>
    <t>Endeavor</t>
  </si>
  <si>
    <t>Grand Lancer</t>
  </si>
  <si>
    <t>Sigma</t>
  </si>
  <si>
    <t>Town Box</t>
  </si>
  <si>
    <t>Minicab MiEV</t>
  </si>
  <si>
    <t>Mazda3</t>
  </si>
  <si>
    <t>2.0L SkyActiv-G</t>
  </si>
  <si>
    <t>Mazda3 Hatchback</t>
  </si>
  <si>
    <t>2.5L SkyActiv-G</t>
  </si>
  <si>
    <t>Mazda6</t>
  </si>
  <si>
    <t>2.5L Turbocharged</t>
  </si>
  <si>
    <t>CX-3</t>
  </si>
  <si>
    <t>CX-30</t>
  </si>
  <si>
    <t>CX-5</t>
  </si>
  <si>
    <t>CX-50</t>
  </si>
  <si>
    <t>CX-8</t>
  </si>
  <si>
    <t>2.2L Diesel</t>
  </si>
  <si>
    <t>CX-9</t>
  </si>
  <si>
    <t>CX-90</t>
  </si>
  <si>
    <t>3.3L Inline-6 Turbo</t>
  </si>
  <si>
    <t>MX-5 Miata</t>
  </si>
  <si>
    <t>MX-5 Miata RF</t>
  </si>
  <si>
    <t>MX-30 Electric</t>
  </si>
  <si>
    <t>CX-4</t>
  </si>
  <si>
    <t>CX-7</t>
  </si>
  <si>
    <t>2.3L Turbocharged</t>
  </si>
  <si>
    <t>Tribute</t>
  </si>
  <si>
    <t>B-Series Pickup</t>
  </si>
  <si>
    <t>2.5L Diesel</t>
  </si>
  <si>
    <t>BT-50</t>
  </si>
  <si>
    <t>3.2L Turbo Diesel</t>
  </si>
  <si>
    <t>RX-7</t>
  </si>
  <si>
    <t>1.3L Rotary Twin-Turbo</t>
  </si>
  <si>
    <t>RX-3</t>
  </si>
  <si>
    <t>1.2L Rotary</t>
  </si>
  <si>
    <t>RX-Vision Concept</t>
  </si>
  <si>
    <t>Rotary SkyActiv-R</t>
  </si>
  <si>
    <t>323F</t>
  </si>
  <si>
    <t>Familia Sedan</t>
  </si>
  <si>
    <t>Premacy</t>
  </si>
  <si>
    <t>Demio</t>
  </si>
  <si>
    <t>1.5L SkyActiv-G</t>
  </si>
  <si>
    <t>Millenia</t>
  </si>
  <si>
    <t>2.3L Miller Cycle V6</t>
  </si>
  <si>
    <t>Eunos Cosmo</t>
  </si>
  <si>
    <t>2.0L Twin-Rotor Turbo</t>
  </si>
  <si>
    <t>Atenza</t>
  </si>
  <si>
    <t>Roadpacer AP</t>
  </si>
  <si>
    <t>1.3L Rotary</t>
  </si>
  <si>
    <t>626</t>
  </si>
  <si>
    <t>929</t>
  </si>
  <si>
    <t>Luce</t>
  </si>
  <si>
    <t>1.8L Rotary</t>
  </si>
  <si>
    <t>Capella</t>
  </si>
  <si>
    <t>Carol</t>
  </si>
  <si>
    <t>Autozam AZ-1</t>
  </si>
  <si>
    <t>657cc Turbocharged Inline-3</t>
  </si>
  <si>
    <t>Spiano</t>
  </si>
  <si>
    <t>Verisa</t>
  </si>
  <si>
    <t>MX-6</t>
  </si>
  <si>
    <t>MPV</t>
  </si>
  <si>
    <t>Proceed Marvie</t>
  </si>
  <si>
    <t>2.6L Inline-4</t>
  </si>
  <si>
    <t>Sentia</t>
  </si>
  <si>
    <t>Cronos</t>
  </si>
  <si>
    <t>Scrum</t>
  </si>
  <si>
    <t>Parkway</t>
  </si>
  <si>
    <t>Titan (Truck)</t>
  </si>
  <si>
    <t>3.0L Inline-4</t>
  </si>
  <si>
    <t>CX-60</t>
  </si>
  <si>
    <t>CX-80</t>
  </si>
  <si>
    <t>3.0L Inline-6</t>
  </si>
  <si>
    <t>T1500</t>
  </si>
  <si>
    <t>Bongo Van</t>
  </si>
  <si>
    <t>Bongo Friendee</t>
  </si>
  <si>
    <t>Revue</t>
  </si>
  <si>
    <t>1.3L Inline-4</t>
  </si>
  <si>
    <t>Protegé</t>
  </si>
  <si>
    <t>Xedos 6</t>
  </si>
  <si>
    <t>Xedos 9</t>
  </si>
  <si>
    <t>121</t>
  </si>
  <si>
    <t>1200</t>
  </si>
  <si>
    <t>1.2L Inline-4</t>
  </si>
  <si>
    <t>1500</t>
  </si>
  <si>
    <t>RX-2</t>
  </si>
  <si>
    <t>1.3L Inline-2 (Wankel)</t>
  </si>
  <si>
    <t>RX-5</t>
  </si>
  <si>
    <t>1.6L Inline-2 (Wankel)</t>
  </si>
  <si>
    <t>RX-7 Spirit R</t>
  </si>
  <si>
    <t>Cosmo Sport (110S)</t>
  </si>
  <si>
    <t>1.0L Inline-2 (Wankel)</t>
  </si>
  <si>
    <t>Eunos 500</t>
  </si>
  <si>
    <t>Eunos Roadster</t>
  </si>
  <si>
    <t>Familia Astina</t>
  </si>
  <si>
    <t>Savanna RX-7</t>
  </si>
  <si>
    <t>Capella Cargo</t>
  </si>
  <si>
    <t>818</t>
  </si>
  <si>
    <t>Sentia Hardtop Coupe</t>
  </si>
  <si>
    <t>Biante</t>
  </si>
  <si>
    <t>Premacy Hydrogen RE Hybrid</t>
  </si>
  <si>
    <t>1.3L Wankel + Electric</t>
  </si>
  <si>
    <t>Carol P360</t>
  </si>
  <si>
    <t>0.36L Inline-2</t>
  </si>
  <si>
    <t>T2000</t>
  </si>
  <si>
    <t>AZ-Offroad</t>
  </si>
  <si>
    <t>Scrum Wagon</t>
  </si>
  <si>
    <t>0.66L Inline-3</t>
  </si>
  <si>
    <t>Persona</t>
  </si>
  <si>
    <t>Astina</t>
  </si>
  <si>
    <t>Etude</t>
  </si>
  <si>
    <t>Porter</t>
  </si>
  <si>
    <t>MX-3</t>
  </si>
  <si>
    <t>MX-5 Superlight Concept</t>
  </si>
  <si>
    <t>Premacy Hydrogen RE</t>
  </si>
  <si>
    <t>Bongo Truck</t>
  </si>
  <si>
    <t>Rotary Pickup</t>
  </si>
  <si>
    <t>1.3L Wankel Rotary Engine</t>
  </si>
  <si>
    <t>Luce Rotary Coupe</t>
  </si>
  <si>
    <t>Millenia S</t>
  </si>
  <si>
    <t>787B (Race Car)</t>
  </si>
  <si>
    <t>2.6L Wankel Rotary Engine</t>
  </si>
  <si>
    <t>Crown Signia</t>
  </si>
  <si>
    <t>2.5L Hybrid I4</t>
  </si>
  <si>
    <t>4Runner (6th Gen)</t>
  </si>
  <si>
    <t>2.4L Turbo I4 (i-FORCE MAX Hybrid)</t>
  </si>
  <si>
    <t>Corolla Cross</t>
  </si>
  <si>
    <t>2.0L Gas / 2.0L Hybrid</t>
  </si>
  <si>
    <t xml:space="preserve">C-HR+ </t>
  </si>
  <si>
    <t>1.8L / 2.0L Hybrid</t>
  </si>
  <si>
    <t>RAV4 (6th Gen)</t>
  </si>
  <si>
    <t>2.5L Hybrid / Plug-in Hybrid</t>
  </si>
  <si>
    <t>Row Labels</t>
  </si>
  <si>
    <t>Grand Total</t>
  </si>
  <si>
    <t>Count of Fuel Types</t>
  </si>
  <si>
    <t>Average of Horse Power Final</t>
  </si>
  <si>
    <t>Average of Car Prices Final</t>
  </si>
  <si>
    <t>Average of Seats</t>
  </si>
  <si>
    <t>Average of Performance(0 - 100 )KM/H</t>
  </si>
  <si>
    <t>Median of Car Prices Final</t>
  </si>
  <si>
    <t>Car Name (input)</t>
  </si>
  <si>
    <t>Engine</t>
  </si>
  <si>
    <t>CC / Battery Capacity</t>
  </si>
  <si>
    <t>Horse Power</t>
  </si>
  <si>
    <t>Total Speed (km/h)</t>
  </si>
  <si>
    <t>0-100 km/h (sec)</t>
  </si>
  <si>
    <t>Price ($)</t>
  </si>
  <si>
    <t>Fuel Type</t>
  </si>
  <si>
    <t>Torque</t>
  </si>
  <si>
    <t>Company</t>
  </si>
  <si>
    <t>Brand (input)</t>
  </si>
  <si>
    <t>Avg 0-100 km/h (sec)</t>
  </si>
  <si>
    <t>Model Count</t>
  </si>
  <si>
    <t>Avg Horse Power</t>
  </si>
  <si>
    <t>Avg Price</t>
  </si>
  <si>
    <t>Avg Seats</t>
  </si>
  <si>
    <t>Median Price</t>
  </si>
  <si>
    <t xml:space="preserve">Brand Lookup </t>
  </si>
  <si>
    <t xml:space="preserve">Car Lookup </t>
  </si>
  <si>
    <t>McLaren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</si>
</sst>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4" fontId="0" fillId="0" borderId="0" xfId="0" applyNumberFormat="1"/>
    <xf numFmtId="0" fontId="1" fillId="2" borderId="0" xfId="0" applyFont="1" applyFill="1"/>
    <xf numFmtId="44" fontId="1" fillId="2" borderId="0" xfId="0" applyNumberFormat="1" applyFont="1" applyFill="1"/>
    <xf numFmtId="0" fontId="3" fillId="3" borderId="0" xfId="0" applyFont="1" applyFill="1"/>
  </cellXfs>
  <cellStyles count="1">
    <cellStyle name="Normal" xfId="0" builtinId="0"/>
  </cellStyles>
  <dxfs count="7">
    <dxf>
      <numFmt numFmtId="34" formatCode="_(&quot;$&quot;* #,##0.00_);_(&quot;$&quot;* \(#,##0.00\);_(&quot;$&quot;* &quot;-&quot;??_);_(@_)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my Pham" refreshedDate="46259.99628738426" createdVersion="8" refreshedVersion="8" minRefreshableVersion="3" recordCount="1202" xr:uid="{94CBD1AB-9CE8-42A4-9080-15E45904C2A9}">
  <cacheSource type="worksheet">
    <worksheetSource name="Cars_Datasets_2025"/>
  </cacheSource>
  <cacheFields count="11">
    <cacheField name="Company Names" numFmtId="0">
      <sharedItems count="31">
        <s v="Toyota"/>
        <s v="Ford"/>
        <s v="Nissan"/>
        <s v="Volkswagen"/>
        <s v="Jeep"/>
        <s v="Chevrolet"/>
        <s v="Gmc"/>
        <s v="Kia"/>
        <s v="Honda"/>
        <s v="Cadillac"/>
        <s v="Hyundai"/>
        <s v="Acura"/>
        <s v="Mazda"/>
        <s v="Mitsubishi"/>
        <s v="Audi"/>
        <s v="Tata Motors"/>
        <s v="Mahindra"/>
        <s v="Peugeot"/>
        <s v="Volvo"/>
        <s v="Tesla"/>
        <s v="Rolls Royce"/>
        <s v="Mercedes"/>
        <s v="Bmw"/>
        <s v="Lamborghini"/>
        <s v="Aston Martin"/>
        <s v="Porsche"/>
        <s v="Maruti Suzuki"/>
        <s v="Jaguar Land Rover"/>
        <s v="Bentley"/>
        <s v="Ferrari"/>
        <s v="Bugatti"/>
      </sharedItems>
    </cacheField>
    <cacheField name="Cars Names" numFmtId="0">
      <sharedItems/>
    </cacheField>
    <cacheField name="Engines" numFmtId="0">
      <sharedItems/>
    </cacheField>
    <cacheField name="CC/Battery Capacity" numFmtId="0">
      <sharedItems containsString="0" containsBlank="1" containsNumber="1" containsInteger="1" minValue="360" maxValue="16100"/>
    </cacheField>
    <cacheField name="Horse Power Final" numFmtId="0">
      <sharedItems containsString="0" containsBlank="1" containsNumber="1" containsInteger="1" minValue="26" maxValue="1850"/>
    </cacheField>
    <cacheField name="Total Speed" numFmtId="0">
      <sharedItems containsString="0" containsBlank="1" containsNumber="1" containsInteger="1" minValue="80" maxValue="500"/>
    </cacheField>
    <cacheField name="Performance(0 - 100 )KM/H" numFmtId="0">
      <sharedItems containsString="0" containsBlank="1" containsNumber="1" minValue="1.9" maxValue="35"/>
    </cacheField>
    <cacheField name="Car Prices Final" numFmtId="0">
      <sharedItems containsString="0" containsBlank="1" containsNumber="1" containsInteger="1" minValue="4000" maxValue="18000000"/>
    </cacheField>
    <cacheField name="Fuel Types" numFmtId="0">
      <sharedItems/>
    </cacheField>
    <cacheField name="Seats" numFmtId="0">
      <sharedItems containsSemiMixedTypes="0" containsString="0" containsNumber="1" containsInteger="1" minValue="1" maxValue="20"/>
    </cacheField>
    <cacheField name="Torque Final" numFmtId="0">
      <sharedItems containsString="0" containsBlank="1" containsNumber="1" containsInteger="1" minValue="45" maxValue="155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2">
  <r>
    <x v="0"/>
    <s v="COASTER"/>
    <s v="4.0L,DIESEL"/>
    <n v="4009"/>
    <n v="134"/>
    <n v="120"/>
    <m/>
    <n v="70000"/>
    <s v="Diesel"/>
    <n v="20"/>
    <n v="500"/>
  </r>
  <r>
    <x v="1"/>
    <s v="Transit"/>
    <s v="EcoBlue Turbo Diesel"/>
    <n v="2000"/>
    <n v="170"/>
    <n v="160"/>
    <n v="12"/>
    <n v="43455"/>
    <s v="Diesel"/>
    <n v="15"/>
    <n v="405"/>
  </r>
  <r>
    <x v="2"/>
    <s v="Urvan"/>
    <s v="2.5L Turbo Diese"/>
    <m/>
    <m/>
    <n v="140"/>
    <n v="14"/>
    <n v="28000"/>
    <s v="Diesel"/>
    <n v="15"/>
    <n v="356"/>
  </r>
  <r>
    <x v="2"/>
    <s v="NV1500"/>
    <s v="4.0L V6"/>
    <n v="3954"/>
    <n v="261"/>
    <n v="160"/>
    <n v="9.5"/>
    <n v="33000"/>
    <s v="Petrol"/>
    <n v="12"/>
    <n v="385"/>
  </r>
  <r>
    <x v="1"/>
    <s v="Transit Electric (E-Transit)"/>
    <s v="Electric Motor"/>
    <m/>
    <n v="266"/>
    <n v="140"/>
    <n v="9"/>
    <n v="52000"/>
    <s v="Electric"/>
    <n v="12"/>
    <n v="430"/>
  </r>
  <r>
    <x v="1"/>
    <s v="Transit Custom"/>
    <s v="EcoBlue Turbo Diesel"/>
    <n v="2000"/>
    <n v="130"/>
    <n v="160"/>
    <n v="12.5"/>
    <n v="35000"/>
    <s v="Diesel"/>
    <n v="9"/>
    <n v="385"/>
  </r>
  <r>
    <x v="3"/>
    <s v="Transporter"/>
    <s v="2.0L I4 Turbo Diesel"/>
    <n v="1968"/>
    <n v="153"/>
    <n v="180"/>
    <n v="12.2"/>
    <n v="35000"/>
    <s v="Diesel"/>
    <n v="9"/>
    <n v="340"/>
  </r>
  <r>
    <x v="4"/>
    <s v="Grand Wagoneer"/>
    <s v="6.4L V8 Gasoline"/>
    <n v="6400"/>
    <n v="471"/>
    <n v="190"/>
    <n v="6"/>
    <n v="91495"/>
    <s v="Petrol"/>
    <n v="8"/>
    <n v="617"/>
  </r>
  <r>
    <x v="5"/>
    <s v="Suburban High Country"/>
    <s v="6.2L V8 Gasoline"/>
    <n v="6200"/>
    <n v="420"/>
    <n v="200"/>
    <n v="7"/>
    <n v="82400"/>
    <s v="Petrol"/>
    <n v="8"/>
    <n v="624"/>
  </r>
  <r>
    <x v="6"/>
    <s v="Yukon XL"/>
    <s v="6.2L V8 Gasoline"/>
    <n v="6200"/>
    <n v="420"/>
    <n v="200"/>
    <n v="6.9"/>
    <n v="61100"/>
    <s v="Petrol"/>
    <n v="8"/>
    <n v="624"/>
  </r>
  <r>
    <x v="6"/>
    <s v="Yukon Denali"/>
    <s v="6.2L V8 Gasoline"/>
    <n v="6200"/>
    <n v="420"/>
    <n v="200"/>
    <n v="6.8"/>
    <n v="72800"/>
    <s v="Petrol"/>
    <n v="8"/>
    <n v="624"/>
  </r>
  <r>
    <x v="6"/>
    <s v="Yukon XL Denali Ultimate"/>
    <s v="6.2L V8 Gasoline"/>
    <n v="6200"/>
    <n v="420"/>
    <n v="200"/>
    <n v="6.7"/>
    <n v="93800"/>
    <s v="Petrol"/>
    <n v="8"/>
    <n v="624"/>
  </r>
  <r>
    <x v="6"/>
    <s v="Yukon Denali Performance"/>
    <s v="6.2L V8 engine"/>
    <n v="6162"/>
    <n v="420"/>
    <n v="210"/>
    <n v="6"/>
    <n v="76805"/>
    <s v="Petrol"/>
    <n v="8"/>
    <n v="624"/>
  </r>
  <r>
    <x v="6"/>
    <s v="Yukon Denali Ultimate Black"/>
    <s v="6.2L V8 engine"/>
    <n v="6162"/>
    <n v="420"/>
    <n v="210"/>
    <n v="6"/>
    <n v="90000"/>
    <s v="Petrol"/>
    <n v="8"/>
    <n v="624"/>
  </r>
  <r>
    <x v="4"/>
    <s v="Wagoneer"/>
    <s v="5.7L V8 Gasoline with eTorque"/>
    <n v="5700"/>
    <n v="392"/>
    <n v="190"/>
    <n v="7.4"/>
    <n v="63595"/>
    <s v="Petrol"/>
    <n v="8"/>
    <n v="548"/>
  </r>
  <r>
    <x v="2"/>
    <s v="Armada"/>
    <s v="5.6L V8"/>
    <n v="5552"/>
    <m/>
    <n v="210"/>
    <n v="6.5"/>
    <n v="51000"/>
    <s v="Petrol"/>
    <n v="8"/>
    <n v="560"/>
  </r>
  <r>
    <x v="2"/>
    <s v="Armada Platinum"/>
    <s v="5.6L V8"/>
    <n v="5552"/>
    <m/>
    <n v="210"/>
    <n v="6.5"/>
    <n v="65300"/>
    <s v="Petrol"/>
    <n v="8"/>
    <n v="560"/>
  </r>
  <r>
    <x v="6"/>
    <s v="Yukon AT4"/>
    <s v="5.3L V8 engine"/>
    <n v="5327"/>
    <n v="355"/>
    <n v="210"/>
    <n v="7.1"/>
    <n v="71505"/>
    <s v="Petrol"/>
    <n v="8"/>
    <n v="519"/>
  </r>
  <r>
    <x v="6"/>
    <s v="Yukon XL AT4"/>
    <s v="5.3L V8 engine"/>
    <n v="5327"/>
    <n v="355"/>
    <n v="210"/>
    <n v="7.3"/>
    <n v="73305"/>
    <s v="Petrol"/>
    <n v="8"/>
    <n v="519"/>
  </r>
  <r>
    <x v="6"/>
    <s v="Yukon XL SLT"/>
    <s v="5.3L V8 engine"/>
    <n v="5327"/>
    <n v="355"/>
    <n v="210"/>
    <n v="7.3"/>
    <n v="65000"/>
    <s v="Petrol"/>
    <n v="8"/>
    <n v="519"/>
  </r>
  <r>
    <x v="6"/>
    <s v="Yukon XL Elevation"/>
    <s v="5.3L V8 engine"/>
    <n v="5327"/>
    <n v="355"/>
    <n v="210"/>
    <n v="7.4"/>
    <n v="75000"/>
    <s v="Petrol"/>
    <n v="8"/>
    <n v="519"/>
  </r>
  <r>
    <x v="6"/>
    <s v="Yukon Trailering Edition"/>
    <s v="5.3L V8 engine"/>
    <n v="5327"/>
    <n v="355"/>
    <n v="210"/>
    <n v="7.5"/>
    <n v="78000"/>
    <s v="Petrol"/>
    <n v="8"/>
    <n v="519"/>
  </r>
  <r>
    <x v="5"/>
    <s v="Suburban"/>
    <s v="5.3L V8 Gasoline"/>
    <n v="5300"/>
    <n v="355"/>
    <n v="190"/>
    <n v="7.6"/>
    <n v="59900"/>
    <s v="Petrol"/>
    <n v="8"/>
    <n v="519"/>
  </r>
  <r>
    <x v="5"/>
    <s v="Suburban LT"/>
    <s v="5.3L V8 Gasoline"/>
    <n v="5300"/>
    <n v="355"/>
    <n v="180"/>
    <n v="5.0999999999999996"/>
    <n v="64400"/>
    <s v="Petrol"/>
    <n v="8"/>
    <n v="519"/>
  </r>
  <r>
    <x v="5"/>
    <s v="Tahoe LS"/>
    <s v="5.3L V8 Gasoline"/>
    <n v="5300"/>
    <n v="355"/>
    <n v="180"/>
    <n v="7.5"/>
    <n v="56995"/>
    <s v="Petrol"/>
    <n v="8"/>
    <n v="519"/>
  </r>
  <r>
    <x v="5"/>
    <s v="Tahoe LT"/>
    <s v="5.3L V8 Gasoline"/>
    <n v="5300"/>
    <n v="355"/>
    <n v="180"/>
    <n v="7.4"/>
    <n v="62495"/>
    <s v="Petrol"/>
    <n v="8"/>
    <n v="519"/>
  </r>
  <r>
    <x v="5"/>
    <s v="Tahoe Midnight Edition"/>
    <s v="5.3L V8 Gasoline"/>
    <n v="5300"/>
    <n v="355"/>
    <n v="180"/>
    <n v="7.5"/>
    <n v="65500"/>
    <s v="Petrol"/>
    <n v="8"/>
    <n v="519"/>
  </r>
  <r>
    <x v="6"/>
    <s v="Yukon"/>
    <s v="5.3L V8 Gasoline"/>
    <n v="5300"/>
    <n v="355"/>
    <n v="180"/>
    <n v="7.4"/>
    <n v="57400"/>
    <s v="Petrol"/>
    <n v="8"/>
    <n v="519"/>
  </r>
  <r>
    <x v="7"/>
    <s v="Carnival EX"/>
    <s v="3.5L V6"/>
    <n v="3500"/>
    <n v="290"/>
    <n v="220"/>
    <n v="8"/>
    <n v="42500"/>
    <s v="Petrol"/>
    <n v="8"/>
    <n v="355"/>
  </r>
  <r>
    <x v="7"/>
    <s v="Carnival LXS"/>
    <s v="3.5L V6"/>
    <n v="3500"/>
    <n v="290"/>
    <n v="220"/>
    <n v="8"/>
    <n v="39500"/>
    <s v="Petrol"/>
    <n v="8"/>
    <n v="355"/>
  </r>
  <r>
    <x v="7"/>
    <s v="Carnival SX Prestige"/>
    <s v="3.5L V6"/>
    <n v="3500"/>
    <n v="290"/>
    <n v="220"/>
    <n v="8"/>
    <n v="47000"/>
    <s v="Petrol"/>
    <n v="8"/>
    <n v="355"/>
  </r>
  <r>
    <x v="7"/>
    <s v="Carnival MPV EX"/>
    <s v="3.5L V6"/>
    <n v="3500"/>
    <n v="290"/>
    <n v="220"/>
    <n v="8"/>
    <n v="43500"/>
    <s v="Petrol"/>
    <n v="8"/>
    <n v="355"/>
  </r>
  <r>
    <x v="7"/>
    <s v="Carnival Special Edition"/>
    <s v="3.5L V6"/>
    <n v="3500"/>
    <n v="290"/>
    <n v="220"/>
    <n v="8"/>
    <n v="45500"/>
    <s v="Petrol"/>
    <n v="8"/>
    <n v="355"/>
  </r>
  <r>
    <x v="1"/>
    <s v="Expedition King Ranch"/>
    <s v="Turbocharged V6"/>
    <n v="3500"/>
    <n v="440"/>
    <n v="210"/>
    <n v="6.8"/>
    <n v="79560"/>
    <s v="Petrol"/>
    <n v="8"/>
    <n v="691"/>
  </r>
  <r>
    <x v="8"/>
    <s v="PILOT"/>
    <s v="V6"/>
    <n v="3471"/>
    <n v="285"/>
    <n v="209"/>
    <n v="6.3"/>
    <n v="40000"/>
    <s v="Petrol"/>
    <n v="8"/>
    <n v="360"/>
  </r>
  <r>
    <x v="2"/>
    <s v="NV350 Caravan"/>
    <s v="2.5L Inline-4 Diesel"/>
    <n v="2488"/>
    <m/>
    <n v="155"/>
    <n v="12.5"/>
    <n v="28000"/>
    <s v="Diesel"/>
    <n v="8"/>
    <n v="356"/>
  </r>
  <r>
    <x v="1"/>
    <s v="Expedition"/>
    <s v="3.5L EcoBoost / 5.4L V8"/>
    <m/>
    <n v="388"/>
    <n v="180"/>
    <n v="6.5"/>
    <n v="62500"/>
    <s v="Petrol"/>
    <n v="8"/>
    <n v="725"/>
  </r>
  <r>
    <x v="9"/>
    <s v="Escalade"/>
    <s v="6.2L V8 Gasoline"/>
    <n v="6200"/>
    <n v="420"/>
    <n v="210"/>
    <n v="6.8"/>
    <n v="79295"/>
    <s v="Petrol"/>
    <n v="7"/>
    <n v="624"/>
  </r>
  <r>
    <x v="9"/>
    <s v="Escalade ESV"/>
    <s v="6.2L V8 Gasoline"/>
    <n v="6200"/>
    <n v="420"/>
    <n v="205"/>
    <n v="6.9"/>
    <n v="82295"/>
    <s v="Petrol"/>
    <n v="7"/>
    <n v="624"/>
  </r>
  <r>
    <x v="9"/>
    <s v="Escalade V"/>
    <s v="6.2L Supercharged V8 Gasoline"/>
    <n v="6200"/>
    <n v="682"/>
    <n v="200"/>
    <n v="4.4000000000000004"/>
    <n v="149990"/>
    <s v="Petrol"/>
    <n v="7"/>
    <n v="885"/>
  </r>
  <r>
    <x v="9"/>
    <s v="Escalade Platinum"/>
    <s v="6.2L V8 Gasoline"/>
    <n v="6200"/>
    <n v="420"/>
    <n v="210"/>
    <n v="6.8"/>
    <n v="104595"/>
    <s v="Petrol"/>
    <n v="7"/>
    <n v="624"/>
  </r>
  <r>
    <x v="5"/>
    <s v="Tahoe Premier"/>
    <s v="6.2L V8 Gasoline"/>
    <n v="6200"/>
    <n v="420"/>
    <n v="200"/>
    <n v="6.8"/>
    <n v="71600"/>
    <s v="Petrol"/>
    <n v="7"/>
    <n v="624"/>
  </r>
  <r>
    <x v="5"/>
    <s v="Tahoe High Country"/>
    <s v="6.2L V8 Gasoline"/>
    <n v="6200"/>
    <n v="420"/>
    <n v="200"/>
    <n v="6.7"/>
    <n v="76700"/>
    <s v="Petrol"/>
    <n v="7"/>
    <n v="624"/>
  </r>
  <r>
    <x v="5"/>
    <s v="Tahoe Sport Edition"/>
    <s v="6.2L V8 Gasoline"/>
    <n v="6200"/>
    <n v="420"/>
    <n v="200"/>
    <n v="6.8"/>
    <n v="70000"/>
    <s v="Petrol"/>
    <n v="7"/>
    <n v="624"/>
  </r>
  <r>
    <x v="6"/>
    <s v="Yukon XL Denali Reserve"/>
    <s v="6.2L V8 engine"/>
    <n v="6162"/>
    <n v="420"/>
    <n v="210"/>
    <n v="6"/>
    <n v="82000"/>
    <s v="Petrol"/>
    <n v="7"/>
    <n v="624"/>
  </r>
  <r>
    <x v="0"/>
    <s v="TOYOTA LAND CRUISER"/>
    <s v="V8"/>
    <n v="5663"/>
    <n v="381"/>
    <n v="220"/>
    <n v="6.7"/>
    <n v="85000"/>
    <s v="Diesel"/>
    <n v="7"/>
    <n v="500"/>
  </r>
  <r>
    <x v="0"/>
    <s v="TOYOTA SEQUOIA"/>
    <s v="V8"/>
    <n v="5663"/>
    <n v="381"/>
    <n v="200"/>
    <n v="6.9"/>
    <n v="50000"/>
    <s v="Petrol"/>
    <n v="7"/>
    <n v="651"/>
  </r>
  <r>
    <x v="2"/>
    <s v="Patrol Platinum"/>
    <s v="5.6L V8"/>
    <n v="5552"/>
    <m/>
    <n v="210"/>
    <n v="7.3"/>
    <n v="77000"/>
    <s v="Petrol"/>
    <n v="7"/>
    <n v="560"/>
  </r>
  <r>
    <x v="2"/>
    <s v="Patrol"/>
    <s v="5.6L V8"/>
    <n v="5552"/>
    <m/>
    <n v="210"/>
    <n v="7.3"/>
    <n v="77000"/>
    <s v="Petrol"/>
    <n v="7"/>
    <n v="560"/>
  </r>
  <r>
    <x v="2"/>
    <s v="Patrol Royale"/>
    <s v="5.6L V8"/>
    <n v="5552"/>
    <m/>
    <n v="210"/>
    <n v="6.6"/>
    <n v="85000"/>
    <s v="Petrol"/>
    <n v="7"/>
    <n v="560"/>
  </r>
  <r>
    <x v="2"/>
    <s v="Infiniti QX80*"/>
    <s v="5.6L V8"/>
    <n v="5552"/>
    <m/>
    <n v="210"/>
    <n v="6.5"/>
    <n v="70600"/>
    <s v="Petrol"/>
    <n v="7"/>
    <n v="560"/>
  </r>
  <r>
    <x v="2"/>
    <s v="Patrol NISMO"/>
    <s v="5.6L V8"/>
    <n v="5552"/>
    <m/>
    <n v="210"/>
    <n v="6.5"/>
    <n v="105000"/>
    <s v="Petrol"/>
    <n v="7"/>
    <n v="560"/>
  </r>
  <r>
    <x v="2"/>
    <s v="Patrol Titanium"/>
    <s v="5.6L V8"/>
    <n v="5552"/>
    <m/>
    <n v="210"/>
    <n v="6.5"/>
    <n v="98000"/>
    <s v="Petrol"/>
    <n v="7"/>
    <n v="560"/>
  </r>
  <r>
    <x v="2"/>
    <s v="Patrol Desert Edition"/>
    <s v="5.6L V8"/>
    <n v="5552"/>
    <m/>
    <n v="210"/>
    <n v="6.5"/>
    <n v="95000"/>
    <s v="Petrol"/>
    <n v="7"/>
    <n v="560"/>
  </r>
  <r>
    <x v="2"/>
    <s v="Pathfinder Armada"/>
    <s v="5.6L V8"/>
    <n v="5552"/>
    <m/>
    <n v="200"/>
    <n v="6.5"/>
    <n v="60000"/>
    <s v="Petrol"/>
    <n v="7"/>
    <n v="560"/>
  </r>
  <r>
    <x v="2"/>
    <s v="Patrol Black Edition"/>
    <s v="5.6L V8"/>
    <n v="5552"/>
    <m/>
    <n v="200"/>
    <n v="6.5"/>
    <n v="85000"/>
    <s v="Petrol"/>
    <n v="7"/>
    <n v="560"/>
  </r>
  <r>
    <x v="2"/>
    <s v="Patrol Warrior"/>
    <s v="5.6L V8"/>
    <n v="5552"/>
    <m/>
    <n v="205"/>
    <n v="6.3"/>
    <n v="95000"/>
    <s v="Petrol"/>
    <n v="7"/>
    <n v="580"/>
  </r>
  <r>
    <x v="2"/>
    <s v="Pathfinder Armada Platinum"/>
    <s v="5.6L V8"/>
    <n v="5552"/>
    <m/>
    <n v="190"/>
    <n v="6.8"/>
    <n v="70000"/>
    <s v="Petrol"/>
    <n v="7"/>
    <n v="560"/>
  </r>
  <r>
    <x v="2"/>
    <s v="Patrol Legend Edition"/>
    <s v="5.6L V8"/>
    <n v="5552"/>
    <m/>
    <n v="205"/>
    <n v="6.3"/>
    <n v="95000"/>
    <s v="Petrol"/>
    <n v="7"/>
    <n v="580"/>
  </r>
  <r>
    <x v="5"/>
    <s v="Tahoe"/>
    <s v="5.3L V8 Gasoline"/>
    <n v="5300"/>
    <n v="355"/>
    <n v="200"/>
    <n v="7.5"/>
    <n v="56995"/>
    <s v="Petrol"/>
    <n v="7"/>
    <n v="519"/>
  </r>
  <r>
    <x v="5"/>
    <s v="Tahoe RST"/>
    <s v="5.3L V8 Gasoline"/>
    <n v="5300"/>
    <n v="355"/>
    <n v="180"/>
    <n v="7.4"/>
    <n v="64100"/>
    <s v="Petrol"/>
    <n v="7"/>
    <n v="519"/>
  </r>
  <r>
    <x v="5"/>
    <s v="Tahoe Z71"/>
    <s v="5.3L V8 Gasoline"/>
    <n v="5300"/>
    <n v="355"/>
    <n v="180"/>
    <n v="7.6"/>
    <n v="66700"/>
    <s v="Petrol"/>
    <n v="7"/>
    <n v="519"/>
  </r>
  <r>
    <x v="2"/>
    <s v="Patrol Super Safari"/>
    <s v="4.8L Inline-6"/>
    <n v="4750"/>
    <m/>
    <n v="190"/>
    <n v="8.1999999999999993"/>
    <n v="55000"/>
    <s v="Petrol"/>
    <n v="7"/>
    <n v="451"/>
  </r>
  <r>
    <x v="2"/>
    <s v="Patrol Super Safari Y61"/>
    <s v="4.8L Inline-6"/>
    <n v="4750"/>
    <m/>
    <n v="190"/>
    <n v="8.1999999999999993"/>
    <n v="58000"/>
    <s v="Petrol"/>
    <n v="7"/>
    <n v="451"/>
  </r>
  <r>
    <x v="2"/>
    <s v="Patrol Y60"/>
    <s v="4.2L Inline-6"/>
    <n v="4169"/>
    <m/>
    <n v="160"/>
    <n v="12"/>
    <n v="45000"/>
    <s v="Diesel"/>
    <n v="7"/>
    <n v="330"/>
  </r>
  <r>
    <x v="0"/>
    <s v="LAND CRUISER PRADO"/>
    <s v="V6"/>
    <n v="3956"/>
    <n v="282"/>
    <n v="200"/>
    <n v="7.2"/>
    <n v="49400"/>
    <s v="Petrol/Diesel"/>
    <n v="7"/>
    <n v="450"/>
  </r>
  <r>
    <x v="2"/>
    <s v="Xterra"/>
    <s v="4.0L V6"/>
    <n v="3954"/>
    <m/>
    <n v="200"/>
    <n v="7.8"/>
    <n v="35000"/>
    <s v="Petrol"/>
    <n v="7"/>
    <n v="381"/>
  </r>
  <r>
    <x v="10"/>
    <s v="Palisade"/>
    <s v="3.8L V6"/>
    <n v="3800"/>
    <n v="291"/>
    <n v="240"/>
    <n v="6.3"/>
    <n v="52000"/>
    <s v="Petrol"/>
    <n v="7"/>
    <n v="355"/>
  </r>
  <r>
    <x v="7"/>
    <s v="Telluride SX"/>
    <s v="3.8L V6"/>
    <n v="3778"/>
    <n v="291"/>
    <n v="240"/>
    <n v="7"/>
    <n v="50000"/>
    <s v="Petrol"/>
    <n v="7"/>
    <n v="355"/>
  </r>
  <r>
    <x v="7"/>
    <s v="Telluride Nightfall Edition"/>
    <s v="3.8L V6"/>
    <n v="3778"/>
    <n v="291"/>
    <n v="240"/>
    <n v="7"/>
    <n v="51000"/>
    <s v="Petrol"/>
    <n v="7"/>
    <n v="355"/>
  </r>
  <r>
    <x v="7"/>
    <s v="Telluride EX"/>
    <s v="3.8L V6"/>
    <n v="3778"/>
    <n v="291"/>
    <n v="240"/>
    <n v="7"/>
    <n v="44000"/>
    <s v="Petrol"/>
    <n v="7"/>
    <n v="355"/>
  </r>
  <r>
    <x v="7"/>
    <s v="Telluride SX Prestige"/>
    <s v="3.8L V6"/>
    <n v="3778"/>
    <n v="291"/>
    <n v="240"/>
    <n v="7"/>
    <n v="52000"/>
    <s v="Petrol"/>
    <n v="7"/>
    <n v="355"/>
  </r>
  <r>
    <x v="7"/>
    <s v="Telluride LX"/>
    <s v="3.8L V6"/>
    <n v="3778"/>
    <n v="291"/>
    <n v="240"/>
    <n v="7"/>
    <n v="41500"/>
    <s v="Petrol"/>
    <n v="7"/>
    <n v="355"/>
  </r>
  <r>
    <x v="7"/>
    <s v="Telluride Limited Edition"/>
    <s v="3.8L V6"/>
    <n v="3778"/>
    <n v="291"/>
    <n v="240"/>
    <n v="7"/>
    <n v="53000"/>
    <s v="Petrol"/>
    <n v="7"/>
    <n v="355"/>
  </r>
  <r>
    <x v="4"/>
    <s v="Grand Cherokee L"/>
    <s v="3.6L V6 Pentastar Gasoline"/>
    <n v="3600"/>
    <n v="293"/>
    <n v="209"/>
    <n v="7.2"/>
    <n v="43530"/>
    <s v="Petrol"/>
    <n v="7"/>
    <n v="352"/>
  </r>
  <r>
    <x v="9"/>
    <s v="XT6"/>
    <s v="3.6L V6 Gasoline"/>
    <n v="3600"/>
    <n v="310"/>
    <n v="210"/>
    <n v="6.9"/>
    <n v="48595"/>
    <s v="Petrol"/>
    <n v="7"/>
    <n v="366"/>
  </r>
  <r>
    <x v="9"/>
    <s v="XT6 Sport"/>
    <s v="3.6L V6 Gasoline"/>
    <n v="3600"/>
    <n v="310"/>
    <n v="210"/>
    <n v="6.9"/>
    <n v="57095"/>
    <s v="Petrol"/>
    <n v="7"/>
    <n v="366"/>
  </r>
  <r>
    <x v="5"/>
    <s v="Traverse"/>
    <s v="3.6L V6 Gasoline"/>
    <n v="3600"/>
    <n v="310"/>
    <n v="210"/>
    <n v="7"/>
    <n v="35915"/>
    <s v="Petrol"/>
    <n v="7"/>
    <n v="360"/>
  </r>
  <r>
    <x v="5"/>
    <s v="Traverse Premier"/>
    <s v="3.6L V6 Gasoline"/>
    <n v="3600"/>
    <n v="310"/>
    <n v="210"/>
    <n v="7"/>
    <n v="46600"/>
    <s v="Petrol"/>
    <n v="7"/>
    <n v="360"/>
  </r>
  <r>
    <x v="5"/>
    <s v="Traverse RS"/>
    <s v="3.6L V6 Gasoline"/>
    <n v="3600"/>
    <n v="310"/>
    <n v="210"/>
    <n v="7"/>
    <n v="43700"/>
    <s v="Petrol"/>
    <n v="7"/>
    <n v="360"/>
  </r>
  <r>
    <x v="5"/>
    <s v="Traverse LT"/>
    <s v="3.6L V6 Gasoline"/>
    <n v="3600"/>
    <n v="310"/>
    <n v="210"/>
    <n v="7.1"/>
    <n v="37200"/>
    <s v="Petrol"/>
    <n v="7"/>
    <n v="360"/>
  </r>
  <r>
    <x v="6"/>
    <s v="Acadia Denali"/>
    <s v="3.6L V6 engine"/>
    <n v="3564"/>
    <n v="310"/>
    <n v="210"/>
    <n v="6.5"/>
    <n v="54300"/>
    <s v="Petrol"/>
    <n v="7"/>
    <n v="366"/>
  </r>
  <r>
    <x v="6"/>
    <s v="Acadia Black Edition"/>
    <s v="3.6L V6 engine"/>
    <n v="3564"/>
    <n v="310"/>
    <n v="210"/>
    <n v="6.5"/>
    <n v="45000"/>
    <s v="Petrol"/>
    <n v="7"/>
    <n v="366"/>
  </r>
  <r>
    <x v="6"/>
    <s v="Acadia SLE"/>
    <s v="3.6L V6 engine"/>
    <n v="3564"/>
    <n v="310"/>
    <n v="210"/>
    <n v="6.6"/>
    <n v="40000"/>
    <s v="Petrol"/>
    <n v="7"/>
    <n v="366"/>
  </r>
  <r>
    <x v="6"/>
    <s v="Acadia Denali Ultimate"/>
    <s v="3.6L V6 engine"/>
    <n v="3564"/>
    <n v="310"/>
    <n v="210"/>
    <n v="6.5"/>
    <n v="60000"/>
    <s v="Petrol"/>
    <n v="7"/>
    <n v="366"/>
  </r>
  <r>
    <x v="11"/>
    <s v="MDX Hybrid"/>
    <s v="V6 Hybrid"/>
    <n v="3500"/>
    <n v="321"/>
    <n v="190"/>
    <n v="6"/>
    <n v="55000"/>
    <s v="Hybrid"/>
    <n v="7"/>
    <n v="335"/>
  </r>
  <r>
    <x v="11"/>
    <s v="MDX SH-AWD w/Technology Package"/>
    <s v="V6"/>
    <n v="3500"/>
    <n v="290"/>
    <n v="190"/>
    <n v="6"/>
    <n v="55000"/>
    <s v="Petrol"/>
    <n v="7"/>
    <n v="362"/>
  </r>
  <r>
    <x v="11"/>
    <s v="MDX Elite"/>
    <s v="V6"/>
    <n v="3500"/>
    <n v="290"/>
    <n v="190"/>
    <n v="6"/>
    <n v="58000"/>
    <s v="Petrol"/>
    <n v="7"/>
    <n v="362"/>
  </r>
  <r>
    <x v="11"/>
    <s v="MDX Sport Hybrid"/>
    <s v="V6 Hybrid"/>
    <n v="3500"/>
    <n v="321"/>
    <n v="190"/>
    <n v="6"/>
    <n v="52000"/>
    <s v="Hybrid"/>
    <n v="7"/>
    <n v="335"/>
  </r>
  <r>
    <x v="1"/>
    <s v="Flex"/>
    <s v="Naturally Aspirated V6"/>
    <n v="3500"/>
    <n v="287"/>
    <n v="200"/>
    <n v="7.9"/>
    <n v="31000"/>
    <s v="Petrol"/>
    <n v="7"/>
    <n v="345"/>
  </r>
  <r>
    <x v="2"/>
    <s v="PATHFINDER"/>
    <s v="V6"/>
    <n v="3498"/>
    <n v="284"/>
    <n v="225"/>
    <n v="6.5"/>
    <n v="35000"/>
    <s v="Petrol"/>
    <n v="7"/>
    <n v="351"/>
  </r>
  <r>
    <x v="2"/>
    <s v="Pathfinder Rock Creek"/>
    <s v="3.5L V6"/>
    <n v="3498"/>
    <m/>
    <n v="190"/>
    <n v="7.4"/>
    <n v="42820"/>
    <s v="Petrol"/>
    <n v="7"/>
    <n v="351"/>
  </r>
  <r>
    <x v="2"/>
    <s v="Pathfinder Rock Creek Edition"/>
    <s v="3.5L V6"/>
    <n v="3498"/>
    <m/>
    <n v="195"/>
    <n v="7.2"/>
    <n v="44000"/>
    <s v="Petrol"/>
    <n v="7"/>
    <n v="351"/>
  </r>
  <r>
    <x v="2"/>
    <s v="Elgrand"/>
    <s v="3.5L V6"/>
    <n v="3498"/>
    <m/>
    <n v="200"/>
    <n v="8.5"/>
    <n v="50000"/>
    <s v="Petrol"/>
    <n v="7"/>
    <n v="344"/>
  </r>
  <r>
    <x v="0"/>
    <s v="HIGHLANDER"/>
    <s v="V6"/>
    <n v="3456"/>
    <n v="295"/>
    <n v="220"/>
    <n v="7.2"/>
    <n v="38400"/>
    <s v="Petrol/Hybrid"/>
    <n v="7"/>
    <n v="370"/>
  </r>
  <r>
    <x v="0"/>
    <s v="HIGHLANDER HYBRID"/>
    <s v="V6"/>
    <n v="3456"/>
    <n v="240"/>
    <n v="220"/>
    <n v="8.1999999999999993"/>
    <n v="40400"/>
    <s v="Hybrid"/>
    <n v="7"/>
    <n v="350"/>
  </r>
  <r>
    <x v="0"/>
    <s v="LAND CRUISER 300"/>
    <s v="3.3L,V6,TWIN TURBO DIESEL"/>
    <n v="3346"/>
    <n v="305"/>
    <n v="210"/>
    <n v="6.8"/>
    <n v="58500"/>
    <s v="Petrol/Diesel"/>
    <n v="7"/>
    <n v="650"/>
  </r>
  <r>
    <x v="1"/>
    <s v="Explorer Hybrid"/>
    <s v="3.3L V6 + Electric"/>
    <n v="3300"/>
    <n v="318"/>
    <n v="180"/>
    <n v="7.5"/>
    <n v="52500"/>
    <s v="Hybrid"/>
    <n v="7"/>
    <n v="500"/>
  </r>
  <r>
    <x v="12"/>
    <s v="CX-90"/>
    <s v="3.3L Inline-6 Turbo"/>
    <n v="3300"/>
    <n v="340"/>
    <n v="240"/>
    <n v="6.2"/>
    <n v="55000"/>
    <s v="Petrol"/>
    <n v="7"/>
    <n v="500"/>
  </r>
  <r>
    <x v="13"/>
    <s v="Pajero"/>
    <s v="3.2L Diesel Turbo"/>
    <n v="3200"/>
    <n v="189"/>
    <n v="180"/>
    <n v="10.5"/>
    <n v="42500"/>
    <s v="Diesel"/>
    <n v="7"/>
    <n v="441"/>
  </r>
  <r>
    <x v="13"/>
    <s v="Pajero Final Edition"/>
    <s v="3.2L Diesel Turbo"/>
    <n v="3200"/>
    <n v="189"/>
    <n v="180"/>
    <n v="10.5"/>
    <n v="47500"/>
    <s v="Diesel"/>
    <n v="7"/>
    <n v="441"/>
  </r>
  <r>
    <x v="13"/>
    <s v="Pajero GLS"/>
    <s v="3.2L Diesel Turbo"/>
    <n v="3200"/>
    <n v="189"/>
    <n v="180"/>
    <n v="10.5"/>
    <n v="47500"/>
    <s v="Diesel"/>
    <n v="7"/>
    <n v="441"/>
  </r>
  <r>
    <x v="1"/>
    <s v="Explorer Platinum"/>
    <s v="Turbocharged V6"/>
    <n v="3000"/>
    <n v="400"/>
    <n v="230"/>
    <n v="6"/>
    <n v="56505"/>
    <s v="Petrol"/>
    <n v="7"/>
    <n v="563"/>
  </r>
  <r>
    <x v="1"/>
    <s v="Explorer (2024)"/>
    <s v="V6 Turbocharged"/>
    <n v="3000"/>
    <n v="400"/>
    <n v="230"/>
    <n v="5.9"/>
    <n v="55000"/>
    <s v="Petrol"/>
    <n v="7"/>
    <n v="563"/>
  </r>
  <r>
    <x v="12"/>
    <s v="MPV"/>
    <s v="3.0L V6"/>
    <n v="3000"/>
    <n v="200"/>
    <n v="185"/>
    <n v="9.5"/>
    <n v="27500"/>
    <s v="Petrol"/>
    <n v="7"/>
    <n v="265"/>
  </r>
  <r>
    <x v="12"/>
    <s v="CX-80"/>
    <s v="3.0L Inline-6"/>
    <n v="3000"/>
    <n v="250"/>
    <n v="210"/>
    <n v="7.5"/>
    <n v="47500"/>
    <s v="Petrol"/>
    <n v="7"/>
    <n v="400"/>
  </r>
  <r>
    <x v="14"/>
    <s v="Q7"/>
    <s v="V6"/>
    <n v="2995"/>
    <n v="335"/>
    <n v="250"/>
    <n v="6.3"/>
    <n v="60000"/>
    <s v="Petrol"/>
    <n v="7"/>
    <n v="600"/>
  </r>
  <r>
    <x v="15"/>
    <s v="Sumo Gold"/>
    <s v="3.0L CR4 Diesel"/>
    <n v="2956"/>
    <n v="85"/>
    <n v="125"/>
    <n v="17.600000000000001"/>
    <n v="15000"/>
    <s v="Diesel"/>
    <n v="7"/>
    <n v="250"/>
  </r>
  <r>
    <x v="0"/>
    <s v="FORTUNER GR SPORT"/>
    <s v="2.8L,TURBO,DIESEL"/>
    <n v="2755"/>
    <n v="204"/>
    <n v="175"/>
    <n v="10.5"/>
    <n v="55000"/>
    <s v="Petrol/Diesel"/>
    <n v="7"/>
    <n v="500"/>
  </r>
  <r>
    <x v="2"/>
    <s v="Mistral"/>
    <s v="2.7L Turbo Diesel"/>
    <n v="2663"/>
    <m/>
    <n v="160"/>
    <n v="12.5"/>
    <n v="25000"/>
    <s v="Diesel"/>
    <n v="7"/>
    <n v="260"/>
  </r>
  <r>
    <x v="7"/>
    <s v="Sorento X-Line"/>
    <s v="2.5L Turbocharged 4-Cylinder"/>
    <n v="2500"/>
    <n v="277"/>
    <n v="220"/>
    <n v="7"/>
    <n v="42000"/>
    <s v="Petrol"/>
    <n v="7"/>
    <n v="421"/>
  </r>
  <r>
    <x v="7"/>
    <s v="Sorento LX"/>
    <s v="2.5L 4-Cylinder"/>
    <n v="2500"/>
    <n v="191"/>
    <n v="210"/>
    <n v="8.5"/>
    <n v="35500"/>
    <s v="Petrol"/>
    <n v="7"/>
    <n v="246"/>
  </r>
  <r>
    <x v="13"/>
    <s v="Outlander"/>
    <s v="2.5L 4-Cylinder"/>
    <n v="2500"/>
    <n v="181"/>
    <n v="190"/>
    <n v="9.5"/>
    <n v="31500"/>
    <s v="Petrol"/>
    <n v="7"/>
    <n v="245"/>
  </r>
  <r>
    <x v="13"/>
    <s v="Outlander Black Edition"/>
    <s v="2.5L 4-Cylinder"/>
    <n v="2500"/>
    <n v="181"/>
    <n v="190"/>
    <n v="9.5"/>
    <n v="33500"/>
    <s v="Petrol"/>
    <n v="7"/>
    <n v="245"/>
  </r>
  <r>
    <x v="13"/>
    <s v="Outlander SEL"/>
    <s v="2.5L 4-Cylinder"/>
    <n v="2500"/>
    <n v="181"/>
    <n v="190"/>
    <n v="9.5"/>
    <n v="32500"/>
    <s v="Petrol"/>
    <n v="7"/>
    <n v="245"/>
  </r>
  <r>
    <x v="13"/>
    <s v="Outlander SE"/>
    <s v="2.5L 4-Cylinder"/>
    <n v="2500"/>
    <n v="181"/>
    <n v="190"/>
    <n v="9.5"/>
    <n v="30500"/>
    <s v="Petrol"/>
    <n v="7"/>
    <n v="245"/>
  </r>
  <r>
    <x v="13"/>
    <s v="Outlander ES"/>
    <s v="2.5L 4-Cylinder"/>
    <n v="2500"/>
    <n v="181"/>
    <n v="190"/>
    <n v="9.5"/>
    <n v="29000"/>
    <s v="Petrol"/>
    <n v="7"/>
    <n v="245"/>
  </r>
  <r>
    <x v="13"/>
    <s v="Outlander LE"/>
    <s v="2.5L 4-Cylinder"/>
    <n v="2500"/>
    <n v="181"/>
    <n v="190"/>
    <n v="9.5"/>
    <n v="32500"/>
    <s v="Petrol"/>
    <n v="7"/>
    <n v="245"/>
  </r>
  <r>
    <x v="12"/>
    <s v="CX-9"/>
    <s v="2.5L Turbocharged"/>
    <n v="2500"/>
    <n v="250"/>
    <n v="210"/>
    <n v="7.2"/>
    <n v="41500"/>
    <s v="Petrol"/>
    <n v="7"/>
    <n v="420"/>
  </r>
  <r>
    <x v="12"/>
    <s v="Bongo Friendee"/>
    <s v="2.5L Inline-4"/>
    <n v="2500"/>
    <n v="115"/>
    <n v="160"/>
    <n v="12.5"/>
    <n v="22000"/>
    <s v="Petrol/Diesel"/>
    <n v="7"/>
    <n v="160"/>
  </r>
  <r>
    <x v="2"/>
    <s v="X-Terra Pro-4X"/>
    <s v="2.5L Inline-4"/>
    <n v="2498"/>
    <m/>
    <n v="175"/>
    <n v="10.8"/>
    <n v="40000"/>
    <s v="Petrol"/>
    <n v="7"/>
    <n v="240"/>
  </r>
  <r>
    <x v="2"/>
    <s v="Caravan Coach"/>
    <s v="2.5L Inline-4 Diesel"/>
    <n v="2498"/>
    <m/>
    <n v="140"/>
    <n v="14"/>
    <n v="30000"/>
    <s v="Diesel"/>
    <n v="7"/>
    <n v="260"/>
  </r>
  <r>
    <x v="0"/>
    <s v="SIENNA"/>
    <s v="V6"/>
    <n v="2494"/>
    <n v="245"/>
    <n v="190"/>
    <n v="8"/>
    <n v="44150"/>
    <s v="Petrol/Hybrid"/>
    <n v="7"/>
    <n v="360"/>
  </r>
  <r>
    <x v="2"/>
    <s v="Pathfinder Hybrid"/>
    <s v="2.5L Inline-4 Hybrid"/>
    <n v="2488"/>
    <m/>
    <n v="190"/>
    <n v="7.7"/>
    <n v="42500"/>
    <s v="Hybrid"/>
    <n v="7"/>
    <n v="329"/>
  </r>
  <r>
    <x v="13"/>
    <s v="Pajero Sport"/>
    <s v="2.4L Diesel Turbo"/>
    <n v="2400"/>
    <n v="181"/>
    <n v="180"/>
    <n v="11"/>
    <n v="37500"/>
    <s v="Diesel"/>
    <n v="7"/>
    <n v="430"/>
  </r>
  <r>
    <x v="13"/>
    <s v="Grandis"/>
    <s v="2.4L MIVEC"/>
    <n v="2400"/>
    <n v="165"/>
    <n v="190"/>
    <n v="11"/>
    <n v="27500"/>
    <s v="Petrol"/>
    <n v="7"/>
    <n v="217"/>
  </r>
  <r>
    <x v="13"/>
    <s v="Montero Sport"/>
    <s v="2.4L Diesel Turbo"/>
    <n v="2400"/>
    <n v="181"/>
    <n v="180"/>
    <n v="11"/>
    <n v="37500"/>
    <s v="Diesel"/>
    <n v="7"/>
    <n v="430"/>
  </r>
  <r>
    <x v="13"/>
    <s v="Montero GLX"/>
    <s v="2.4L Diesel Turbo"/>
    <n v="2400"/>
    <n v="181"/>
    <n v="180"/>
    <n v="11"/>
    <n v="37500"/>
    <s v="Diesel"/>
    <n v="7"/>
    <n v="430"/>
  </r>
  <r>
    <x v="13"/>
    <s v="Delica Space Gear"/>
    <s v="2.4L Petrol"/>
    <n v="2400"/>
    <n v="145"/>
    <n v="170"/>
    <n v="13"/>
    <n v="32500"/>
    <s v="Petrol"/>
    <n v="7"/>
    <n v="206"/>
  </r>
  <r>
    <x v="2"/>
    <s v="Stanza Wagon"/>
    <s v="2.4L Inline-4"/>
    <n v="2389"/>
    <m/>
    <n v="160"/>
    <n v="12"/>
    <n v="22000"/>
    <s v="Petrol"/>
    <n v="7"/>
    <n v="205"/>
  </r>
  <r>
    <x v="13"/>
    <s v="Delica D:5"/>
    <s v="2.2L Diesel Turbo"/>
    <n v="2200"/>
    <n v="145"/>
    <n v="175"/>
    <n v="11"/>
    <n v="37500"/>
    <s v="Diesel"/>
    <n v="7"/>
    <n v="360"/>
  </r>
  <r>
    <x v="12"/>
    <s v="CX-8"/>
    <s v="2.2L Diesel"/>
    <n v="2200"/>
    <n v="187"/>
    <n v="200"/>
    <n v="9.1999999999999993"/>
    <n v="39000"/>
    <s v="Diesel"/>
    <n v="7"/>
    <n v="450"/>
  </r>
  <r>
    <x v="16"/>
    <s v="XUV500"/>
    <s v="2.2L,4-CYLINDER,INLINE-4(I4)"/>
    <n v="2179"/>
    <n v="155"/>
    <n v="180"/>
    <n v="10.5"/>
    <n v="18400"/>
    <s v="Diesel"/>
    <n v="7"/>
    <n v="400"/>
  </r>
  <r>
    <x v="16"/>
    <s v="SCORPIO"/>
    <s v="2.2L,4-CYLINDER,INLINE-4(I4)"/>
    <n v="2179"/>
    <n v="140"/>
    <n v="160"/>
    <n v="11.2"/>
    <n v="16400"/>
    <s v="Diesel"/>
    <n v="7"/>
    <n v="280"/>
  </r>
  <r>
    <x v="15"/>
    <s v="Hexa"/>
    <s v="2.2L Varicor Diesel"/>
    <n v="2179"/>
    <n v="154"/>
    <n v="180"/>
    <n v="12"/>
    <n v="20000"/>
    <s v="Diesel"/>
    <n v="7"/>
    <n v="400"/>
  </r>
  <r>
    <x v="15"/>
    <s v="Aria"/>
    <s v="2.2L Dicor Diesel"/>
    <n v="2179"/>
    <n v="138"/>
    <n v="162"/>
    <n v="13"/>
    <n v="19000"/>
    <s v="Diesel"/>
    <n v="7"/>
    <n v="320"/>
  </r>
  <r>
    <x v="15"/>
    <s v="Sumo Grande"/>
    <s v="2.2L Dicor Diesel"/>
    <n v="2179"/>
    <n v="118"/>
    <n v="140"/>
    <n v="15"/>
    <n v="16500"/>
    <s v="Diesel"/>
    <n v="7"/>
    <n v="250"/>
  </r>
  <r>
    <x v="6"/>
    <s v="Acadia"/>
    <s v="2.0L Turbo 4-cylinder"/>
    <n v="2000"/>
    <n v="228"/>
    <n v="200"/>
    <n v="7.8"/>
    <n v="36800"/>
    <s v="Petrol"/>
    <n v="7"/>
    <n v="350"/>
  </r>
  <r>
    <x v="1"/>
    <s v="Everest"/>
    <s v="Turbocharged Inline-4"/>
    <n v="2000"/>
    <n v="210"/>
    <n v="190"/>
    <n v="10.5"/>
    <n v="52000"/>
    <s v="Diesel"/>
    <n v="7"/>
    <n v="500"/>
  </r>
  <r>
    <x v="1"/>
    <s v="Transit Connect"/>
    <s v="Inline-4 Gasoline Engine"/>
    <n v="2000"/>
    <n v="162"/>
    <n v="175"/>
    <n v="10.5"/>
    <n v="29365"/>
    <s v="Petrol"/>
    <n v="7"/>
    <n v="200"/>
  </r>
  <r>
    <x v="13"/>
    <s v="Chariot"/>
    <s v="2.0L MIVEC"/>
    <n v="2000"/>
    <n v="140"/>
    <n v="185"/>
    <n v="10.5"/>
    <n v="21500"/>
    <s v="Petrol"/>
    <n v="7"/>
    <n v="170"/>
  </r>
  <r>
    <x v="13"/>
    <s v="Dion"/>
    <s v="2.0L 4-Cylinder"/>
    <n v="2000"/>
    <n v="135"/>
    <n v="180"/>
    <n v="11.5"/>
    <n v="16500"/>
    <s v="Petrol"/>
    <n v="7"/>
    <n v="181"/>
  </r>
  <r>
    <x v="12"/>
    <s v="Premacy"/>
    <s v="2.0L Inline-4"/>
    <n v="2000"/>
    <n v="138"/>
    <n v="190"/>
    <n v="9.8000000000000007"/>
    <n v="21000"/>
    <s v="Petrol"/>
    <n v="7"/>
    <n v="180"/>
  </r>
  <r>
    <x v="12"/>
    <s v="Biante"/>
    <s v="2.0L Inline-4"/>
    <n v="2000"/>
    <n v="150"/>
    <n v="185"/>
    <n v="10"/>
    <n v="24000"/>
    <s v="Petrol"/>
    <n v="7"/>
    <n v="200"/>
  </r>
  <r>
    <x v="2"/>
    <s v="NV200"/>
    <s v="2.0L Inline-4"/>
    <n v="1998"/>
    <m/>
    <n v="140"/>
    <n v="14"/>
    <n v="28000"/>
    <s v="Petrol"/>
    <n v="7"/>
    <n v="188"/>
  </r>
  <r>
    <x v="17"/>
    <s v="5008"/>
    <s v="Inline-4"/>
    <n v="1998"/>
    <n v="165"/>
    <n v="200"/>
    <n v="9.5"/>
    <n v="35000"/>
    <s v="Diesel"/>
    <n v="7"/>
    <n v="400"/>
  </r>
  <r>
    <x v="0"/>
    <s v="INNOVA HYCROSS"/>
    <s v="2.0L HYBRID"/>
    <n v="1987"/>
    <n v="184"/>
    <n v="165"/>
    <n v="9.5"/>
    <n v="40000"/>
    <s v="Hybrid"/>
    <n v="7"/>
    <n v="250"/>
  </r>
  <r>
    <x v="3"/>
    <s v="Tiguan"/>
    <s v="2.0L Turbo I4"/>
    <n v="1984"/>
    <n v="190"/>
    <n v="209"/>
    <n v="8.5"/>
    <n v="28505"/>
    <s v="Petrol/Hybrid"/>
    <n v="7"/>
    <n v="300"/>
  </r>
  <r>
    <x v="3"/>
    <s v="Sharan"/>
    <s v="2.0L Turbo I4"/>
    <n v="1984"/>
    <n v="185"/>
    <n v="200"/>
    <n v="9.3000000000000007"/>
    <n v="33000"/>
    <s v="Petrol/Diesel"/>
    <n v="7"/>
    <n v="280"/>
  </r>
  <r>
    <x v="3"/>
    <s v="California"/>
    <s v="2.0L Turbo I4"/>
    <n v="1984"/>
    <n v="177"/>
    <n v="180"/>
    <n v="13"/>
    <n v="70000"/>
    <s v="Diesel"/>
    <n v="7"/>
    <n v="340"/>
  </r>
  <r>
    <x v="3"/>
    <s v="Tiguan Allspace"/>
    <s v="2.0L Turbo I4"/>
    <n v="1984"/>
    <n v="207"/>
    <n v="215"/>
    <n v="7.6"/>
    <n v="35000"/>
    <s v="Petrol"/>
    <n v="7"/>
    <n v="320"/>
  </r>
  <r>
    <x v="18"/>
    <s v="XC90"/>
    <s v="I6"/>
    <n v="1969"/>
    <n v="247"/>
    <n v="200"/>
    <n v="6.5"/>
    <n v="60000"/>
    <s v="Petrol/Diesel"/>
    <n v="7"/>
    <n v="400"/>
  </r>
  <r>
    <x v="3"/>
    <s v="Caddy Maxi"/>
    <s v="2.0L Diesel I4"/>
    <n v="1968"/>
    <n v="136"/>
    <n v="180"/>
    <n v="12"/>
    <n v="25000"/>
    <s v="Diesel"/>
    <n v="7"/>
    <n v="250"/>
  </r>
  <r>
    <x v="3"/>
    <s v="Sharan Business"/>
    <s v="2.0L Diesel I4"/>
    <n v="1968"/>
    <n v="167"/>
    <n v="200"/>
    <n v="8.3000000000000007"/>
    <n v="35000"/>
    <s v="Diesel"/>
    <n v="7"/>
    <n v="350"/>
  </r>
  <r>
    <x v="15"/>
    <s v="Safari"/>
    <s v="2.0L Kryotec Turbocharged Diesel"/>
    <n v="1956"/>
    <n v="168"/>
    <n v="180"/>
    <n v="11"/>
    <n v="25500"/>
    <s v="Diesel"/>
    <n v="7"/>
    <n v="350"/>
  </r>
  <r>
    <x v="10"/>
    <s v="SANTA FE"/>
    <s v="1.6L PETROL + PLUG IN HYBRID SYSTEM"/>
    <n v="1600"/>
    <n v="253"/>
    <n v="180"/>
    <n v="9.3000000000000007"/>
    <n v="50000"/>
    <s v="Petrol/Hybrid"/>
    <n v="7"/>
    <n v="420"/>
  </r>
  <r>
    <x v="17"/>
    <s v="5008 GT Line"/>
    <s v="Inline-4"/>
    <n v="1598"/>
    <n v="180"/>
    <n v="200"/>
    <n v="9"/>
    <n v="38000"/>
    <s v="Petrol"/>
    <n v="7"/>
    <n v="250"/>
  </r>
  <r>
    <x v="17"/>
    <s v="5008 GT"/>
    <s v="Inline-4"/>
    <n v="1598"/>
    <n v="180"/>
    <n v="210"/>
    <n v="8.1999999999999993"/>
    <n v="40000"/>
    <s v="Petrol"/>
    <n v="7"/>
    <n v="250"/>
  </r>
  <r>
    <x v="7"/>
    <s v="Sorento Hybrid SX Prestige"/>
    <s v="1.6L Hybrid Turbocharged 4-Cylinder"/>
    <n v="1591"/>
    <n v="227"/>
    <n v="200"/>
    <n v="7.9"/>
    <n v="47000"/>
    <s v="Hybrid"/>
    <n v="7"/>
    <n v="352"/>
  </r>
  <r>
    <x v="7"/>
    <s v="Sorento SX Prestige"/>
    <s v="2.5L Hybrid Turbocharged 4-Cylinder"/>
    <n v="1591"/>
    <n v="227"/>
    <n v="200"/>
    <n v="7.9"/>
    <n v="48000"/>
    <s v="Hybrid"/>
    <n v="7"/>
    <n v="352"/>
  </r>
  <r>
    <x v="7"/>
    <s v="Sorento Hybrid EX"/>
    <s v="1.6L Hybrid Turbocharged 4-Cylinder"/>
    <n v="1591"/>
    <n v="227"/>
    <n v="200"/>
    <n v="7.9"/>
    <n v="47000"/>
    <s v="Hybrid"/>
    <n v="7"/>
    <n v="352"/>
  </r>
  <r>
    <x v="7"/>
    <s v="Sorento X-Pro Hybrid"/>
    <s v="1.6L Hybrid Turbocharged 4-Cylinder"/>
    <n v="1591"/>
    <n v="227"/>
    <n v="200"/>
    <n v="7.8"/>
    <n v="49000"/>
    <s v="Hybrid"/>
    <n v="7"/>
    <n v="352"/>
  </r>
  <r>
    <x v="13"/>
    <s v="Xpander"/>
    <s v="1.5L MIVEC"/>
    <n v="1500"/>
    <n v="105"/>
    <n v="170"/>
    <n v="13.5"/>
    <n v="22500"/>
    <s v="Petrol"/>
    <n v="7"/>
    <n v="141"/>
  </r>
  <r>
    <x v="13"/>
    <s v="Xpander Cross"/>
    <s v="1.5L MIVEC"/>
    <n v="1500"/>
    <n v="105"/>
    <n v="170"/>
    <n v="12"/>
    <n v="22500"/>
    <s v="Petrol"/>
    <n v="7"/>
    <n v="141"/>
  </r>
  <r>
    <x v="17"/>
    <s v="5008 Allure"/>
    <s v="Inline-4"/>
    <n v="1499"/>
    <n v="180"/>
    <n v="200"/>
    <n v="8.5"/>
    <n v="33000"/>
    <s v="Petrol"/>
    <n v="7"/>
    <n v="250"/>
  </r>
  <r>
    <x v="17"/>
    <s v="5008 Active"/>
    <s v="Inline-4"/>
    <n v="1499"/>
    <n v="130"/>
    <n v="190"/>
    <n v="10.5"/>
    <n v="33000"/>
    <s v="Petrol"/>
    <n v="7"/>
    <n v="240"/>
  </r>
  <r>
    <x v="17"/>
    <s v="5008 Allure Premium"/>
    <s v="Inline-4"/>
    <n v="1499"/>
    <n v="130"/>
    <n v="190"/>
    <n v="10.199999999999999"/>
    <n v="35000"/>
    <s v="Petrol"/>
    <n v="7"/>
    <n v="240"/>
  </r>
  <r>
    <x v="3"/>
    <s v="Caddy"/>
    <s v="1.5L Turbo I4"/>
    <n v="1498"/>
    <n v="126"/>
    <n v="185"/>
    <n v="10.5"/>
    <n v="28000"/>
    <s v="Petrol/Diesel"/>
    <n v="7"/>
    <n v="250"/>
  </r>
  <r>
    <x v="2"/>
    <s v="Evalia"/>
    <s v="1.5L Inline-4 Diesel"/>
    <n v="1461"/>
    <m/>
    <n v="140"/>
    <n v="15"/>
    <n v="25000"/>
    <s v="Diesel"/>
    <n v="7"/>
    <n v="200"/>
  </r>
  <r>
    <x v="2"/>
    <s v="Serena e-Power"/>
    <s v="1.2L Hybrid"/>
    <n v="1198"/>
    <m/>
    <n v="160"/>
    <n v="12"/>
    <n v="35000"/>
    <s v="Hybrid"/>
    <n v="7"/>
    <n v="320"/>
  </r>
  <r>
    <x v="0"/>
    <s v="ALPHARD EXECUTIVE LOUNGE"/>
    <s v="2.5L,INLINE-4,HYBRID,OR 3.5L,V6"/>
    <m/>
    <n v="296"/>
    <n v="180"/>
    <n v="8.5"/>
    <n v="60000"/>
    <s v="Petrol"/>
    <n v="7"/>
    <n v="400"/>
  </r>
  <r>
    <x v="0"/>
    <s v="PROACE VERSO ELECTRIC"/>
    <s v="ELECTRIC MOTOR"/>
    <m/>
    <n v="136"/>
    <n v="130"/>
    <n v="13.5"/>
    <n v="55000"/>
    <s v="Electric"/>
    <n v="7"/>
    <n v="280"/>
  </r>
  <r>
    <x v="3"/>
    <s v="ID. Buzz"/>
    <s v="Electric"/>
    <m/>
    <n v="204"/>
    <n v="145"/>
    <n v="10.199999999999999"/>
    <n v="59995"/>
    <s v="Electric"/>
    <n v="7"/>
    <n v="310"/>
  </r>
  <r>
    <x v="3"/>
    <s v="Multivan"/>
    <s v="Plug-in Hybrid / Diesel I4"/>
    <m/>
    <n v="184"/>
    <n v="190"/>
    <n v="9.4"/>
    <n v="50000"/>
    <s v="Petrol/Hybrid"/>
    <n v="7"/>
    <n v="350"/>
  </r>
  <r>
    <x v="3"/>
    <s v="Teramont"/>
    <s v="2.0L I4 Turbo / 3.6L V6 Gas"/>
    <m/>
    <n v="256"/>
    <n v="190"/>
    <n v="8.6"/>
    <n v="32000"/>
    <s v="Petrol"/>
    <n v="7"/>
    <n v="350"/>
  </r>
  <r>
    <x v="3"/>
    <s v="ID. Buzz Pro"/>
    <s v="Electric"/>
    <m/>
    <n v="204"/>
    <n v="145"/>
    <n v="10.199999999999999"/>
    <n v="60000"/>
    <s v="Electric"/>
    <n v="7"/>
    <n v="310"/>
  </r>
  <r>
    <x v="19"/>
    <s v="Model X"/>
    <s v="Dual Electric Motors (AWD)"/>
    <m/>
    <n v="670"/>
    <n v="250"/>
    <n v="3.8"/>
    <n v="98490"/>
    <s v="Electric"/>
    <n v="7"/>
    <n v="967"/>
  </r>
  <r>
    <x v="11"/>
    <s v="MDX Advance"/>
    <s v="V6"/>
    <m/>
    <n v="290"/>
    <n v="190"/>
    <n v="6"/>
    <n v="60000"/>
    <s v="Petrol"/>
    <n v="7"/>
    <n v="362"/>
  </r>
  <r>
    <x v="11"/>
    <s v="MDX SH-AWD"/>
    <s v="V6"/>
    <m/>
    <n v="290"/>
    <n v="190"/>
    <n v="6"/>
    <n v="55000"/>
    <s v="Petrol"/>
    <n v="7"/>
    <n v="362"/>
  </r>
  <r>
    <x v="17"/>
    <s v="5008 GT Hybrid"/>
    <s v="Hybrid I4"/>
    <m/>
    <n v="300"/>
    <n v="210"/>
    <n v="6.5"/>
    <n v="48000"/>
    <s v="Hybrid"/>
    <n v="7"/>
    <n v="400"/>
  </r>
  <r>
    <x v="1"/>
    <s v="Explorer"/>
    <s v="2.3L EcoBoost / 3.0L V6"/>
    <m/>
    <n v="350"/>
    <n v="200"/>
    <n v="6"/>
    <n v="45000"/>
    <s v="Petrol"/>
    <n v="7"/>
    <n v="460"/>
  </r>
  <r>
    <x v="1"/>
    <s v="Explorer Plug-in Hybrid"/>
    <s v="V6 Hybrid + Electric Motor"/>
    <m/>
    <n v="457"/>
    <n v="225"/>
    <n v="6"/>
    <n v="53000"/>
    <s v="Hybrid"/>
    <n v="7"/>
    <n v="825"/>
  </r>
  <r>
    <x v="13"/>
    <s v="Delica Van"/>
    <s v="2.0L Diesel / 2.2L Diesel"/>
    <m/>
    <n v="145"/>
    <n v="175"/>
    <n v="11.5"/>
    <n v="32500"/>
    <s v="Diesel"/>
    <n v="7"/>
    <n v="360"/>
  </r>
  <r>
    <x v="0"/>
    <s v="4Runner (6th Gen)"/>
    <s v="2.4L Turbo I4 (i-FORCE MAX Hybrid)"/>
    <m/>
    <n v="326"/>
    <n v="180"/>
    <n v="6.8"/>
    <n v="50000"/>
    <s v="Hybrid"/>
    <n v="7"/>
    <n v="630"/>
  </r>
  <r>
    <x v="1"/>
    <s v="F-450 Super Duty"/>
    <s v="Turbocharged V8 Diesel"/>
    <n v="6700"/>
    <n v="475"/>
    <n v="165"/>
    <n v="8.5"/>
    <n v="61625"/>
    <s v="Diesel"/>
    <n v="6"/>
    <n v="1424"/>
  </r>
  <r>
    <x v="1"/>
    <s v="F-550 Super Duty"/>
    <s v="Turbocharged V8 Diesel"/>
    <n v="6700"/>
    <n v="475"/>
    <n v="165"/>
    <n v="8.8000000000000007"/>
    <n v="64540"/>
    <s v="Diesel"/>
    <n v="6"/>
    <n v="1424"/>
  </r>
  <r>
    <x v="5"/>
    <s v="Silverado 2500HD"/>
    <s v="6.6L V8 Gasoline"/>
    <n v="6600"/>
    <n v="401"/>
    <n v="170"/>
    <n v="8"/>
    <n v="41500"/>
    <s v="Petrol"/>
    <n v="6"/>
    <n v="629"/>
  </r>
  <r>
    <x v="5"/>
    <s v="Silverado 3500HD"/>
    <s v="6.6L V8 Diesel"/>
    <n v="6600"/>
    <n v="445"/>
    <n v="160"/>
    <n v="8.5"/>
    <n v="45500"/>
    <s v="Diesel"/>
    <n v="6"/>
    <n v="1234"/>
  </r>
  <r>
    <x v="5"/>
    <s v="Silverado 3500HD High Country"/>
    <s v="6.6L V8 Diesel"/>
    <n v="6600"/>
    <n v="445"/>
    <n v="160"/>
    <n v="8.5"/>
    <n v="75700"/>
    <s v="Diesel"/>
    <n v="6"/>
    <n v="1234"/>
  </r>
  <r>
    <x v="5"/>
    <s v="Silverado 2500HD LTZ"/>
    <s v="6.6L V8 Diesel"/>
    <n v="6600"/>
    <n v="445"/>
    <n v="160"/>
    <n v="8.4"/>
    <n v="56400"/>
    <s v="Diesel"/>
    <n v="6"/>
    <n v="1234"/>
  </r>
  <r>
    <x v="6"/>
    <s v="Sierra 2500HD"/>
    <s v="6.6L V8 Diesel"/>
    <n v="6600"/>
    <n v="401"/>
    <n v="175"/>
    <n v="7.5"/>
    <n v="43900"/>
    <s v="Diesel"/>
    <n v="6"/>
    <n v="629"/>
  </r>
  <r>
    <x v="6"/>
    <s v="Sierra 3500HD"/>
    <s v="6.6L V8 Diesel"/>
    <n v="6600"/>
    <n v="445"/>
    <n v="175"/>
    <n v="7.4"/>
    <n v="49000"/>
    <s v="Diesel"/>
    <n v="6"/>
    <n v="1234"/>
  </r>
  <r>
    <x v="6"/>
    <s v="Sierra 2500HD Denali"/>
    <s v="6.6L V8 Diesel"/>
    <n v="6600"/>
    <n v="401"/>
    <n v="175"/>
    <n v="7.5"/>
    <n v="72200"/>
    <s v="Diesel"/>
    <n v="6"/>
    <n v="1234"/>
  </r>
  <r>
    <x v="6"/>
    <s v="Sierra Denali"/>
    <s v="6.2L V8 Gasoline"/>
    <n v="6200"/>
    <n v="420"/>
    <n v="190"/>
    <n v="6.7"/>
    <n v="66800"/>
    <s v="Petrol"/>
    <n v="6"/>
    <n v="624"/>
  </r>
  <r>
    <x v="2"/>
    <s v="Titan XD"/>
    <s v="5.6L V8"/>
    <n v="5552"/>
    <m/>
    <n v="195"/>
    <n v="6.9"/>
    <n v="55000"/>
    <s v="Petrol"/>
    <n v="6"/>
    <n v="560"/>
  </r>
  <r>
    <x v="5"/>
    <s v="Silverado 1500"/>
    <s v="5.3L V8 Gasoline"/>
    <n v="5300"/>
    <n v="355"/>
    <n v="180"/>
    <n v="7"/>
    <n v="42795"/>
    <s v="Petrol"/>
    <n v="6"/>
    <n v="519"/>
  </r>
  <r>
    <x v="5"/>
    <s v="Silverado 1500 High Country"/>
    <s v="5.3L V8 Gasoline"/>
    <n v="5300"/>
    <n v="355"/>
    <n v="180"/>
    <n v="7"/>
    <n v="61595"/>
    <s v="Petrol"/>
    <n v="6"/>
    <n v="519"/>
  </r>
  <r>
    <x v="5"/>
    <s v="Silverado 1500 Trail Boss"/>
    <s v="5.3L V8 Gasoline"/>
    <n v="5300"/>
    <n v="355"/>
    <n v="180"/>
    <n v="7"/>
    <n v="55895"/>
    <s v="Petrol"/>
    <n v="6"/>
    <n v="519"/>
  </r>
  <r>
    <x v="5"/>
    <s v="Silverado 1500 RST"/>
    <s v="5.3L V8 Gasoline"/>
    <n v="5300"/>
    <n v="355"/>
    <n v="180"/>
    <n v="7.1"/>
    <n v="50895"/>
    <s v="Petrol"/>
    <n v="6"/>
    <n v="519"/>
  </r>
  <r>
    <x v="6"/>
    <s v="Sierra 1500"/>
    <s v="5.3L V8 Gasoline"/>
    <n v="5300"/>
    <n v="355"/>
    <n v="180"/>
    <n v="7.3"/>
    <n v="37100"/>
    <s v="Petrol"/>
    <n v="6"/>
    <n v="519"/>
  </r>
  <r>
    <x v="6"/>
    <s v="Sierra 1500 AT4"/>
    <s v="5.3L V8 Gasoline"/>
    <n v="5300"/>
    <n v="355"/>
    <n v="180"/>
    <n v="7.4"/>
    <n v="53800"/>
    <s v="Petrol"/>
    <n v="6"/>
    <n v="519"/>
  </r>
  <r>
    <x v="5"/>
    <s v="Silverado Custom"/>
    <s v="4.3L V6 Gasoline"/>
    <n v="4300"/>
    <n v="285"/>
    <n v="180"/>
    <n v="8.5"/>
    <n v="33900"/>
    <s v="Petrol"/>
    <n v="6"/>
    <n v="413"/>
  </r>
  <r>
    <x v="5"/>
    <s v="Silverado 1500 Custom"/>
    <s v="4.3L V6 Gasoline"/>
    <n v="4300"/>
    <n v="285"/>
    <n v="180"/>
    <n v="8.6"/>
    <n v="34900"/>
    <s v="Petrol"/>
    <n v="6"/>
    <n v="413"/>
  </r>
  <r>
    <x v="6"/>
    <s v="Acadia AT4"/>
    <s v="3.6L V6 Gasoline"/>
    <n v="3600"/>
    <n v="310"/>
    <n v="210"/>
    <n v="7.6"/>
    <n v="41400"/>
    <s v="Petrol"/>
    <n v="6"/>
    <n v="366"/>
  </r>
  <r>
    <x v="19"/>
    <s v="Model X Plaid"/>
    <s v="Tri Electric Motors"/>
    <m/>
    <n v="1020"/>
    <n v="262"/>
    <n v="2.6"/>
    <n v="113490"/>
    <s v="Electric"/>
    <n v="6"/>
    <n v="1400"/>
  </r>
  <r>
    <x v="19"/>
    <s v="Cybertruck"/>
    <s v="Tri Electric Motors"/>
    <m/>
    <n v="800"/>
    <n v="209"/>
    <n v="2.9"/>
    <n v="69900"/>
    <s v="Electric"/>
    <n v="6"/>
    <n v="1355"/>
  </r>
  <r>
    <x v="20"/>
    <s v="PHANTOM"/>
    <s v="V12"/>
    <n v="6749"/>
    <n v="563"/>
    <n v="250"/>
    <n v="5.3"/>
    <n v="460000"/>
    <s v="Petrol"/>
    <n v="5"/>
    <n v="900"/>
  </r>
  <r>
    <x v="20"/>
    <s v="CULLINAN"/>
    <s v="V12"/>
    <n v="6749"/>
    <n v="563"/>
    <n v="250"/>
    <n v="5.2"/>
    <n v="325000"/>
    <s v="Petrol"/>
    <n v="5"/>
    <n v="850"/>
  </r>
  <r>
    <x v="20"/>
    <s v="PHANTOM EXTENDED"/>
    <s v="V12"/>
    <n v="6749"/>
    <n v="563"/>
    <n v="250"/>
    <n v="5.3"/>
    <n v="500000"/>
    <s v="Petrol"/>
    <n v="5"/>
    <n v="900"/>
  </r>
  <r>
    <x v="20"/>
    <s v="CULLINAN BLACK BADGE"/>
    <s v="V12"/>
    <n v="6749"/>
    <n v="563"/>
    <n v="250"/>
    <n v="5.0999999999999996"/>
    <n v="350000"/>
    <s v="Petrol"/>
    <n v="5"/>
    <n v="850"/>
  </r>
  <r>
    <x v="20"/>
    <s v="CULLINAN SUV"/>
    <s v="V12"/>
    <n v="6749"/>
    <n v="563"/>
    <n v="250"/>
    <n v="5.2"/>
    <n v="320000"/>
    <s v="Petrol"/>
    <n v="5"/>
    <n v="850"/>
  </r>
  <r>
    <x v="20"/>
    <s v="CULLINAN BLACK BADGE SUV"/>
    <s v="V12"/>
    <n v="6749"/>
    <n v="563"/>
    <n v="250"/>
    <n v="5.0999999999999996"/>
    <n v="381000"/>
    <s v="Petrol"/>
    <n v="5"/>
    <n v="850"/>
  </r>
  <r>
    <x v="20"/>
    <s v="PHATOM TRANQUILITY"/>
    <s v="V12"/>
    <n v="6749"/>
    <n v="563"/>
    <n v="250"/>
    <n v="5.3"/>
    <n v="475000"/>
    <s v="Petrol"/>
    <n v="5"/>
    <n v="900"/>
  </r>
  <r>
    <x v="20"/>
    <s v="GHOST ZENITH"/>
    <s v="V12"/>
    <n v="6749"/>
    <n v="563"/>
    <n v="250"/>
    <n v="4.9000000000000004"/>
    <n v="335000"/>
    <s v="Petrol"/>
    <n v="5"/>
    <n v="900"/>
  </r>
  <r>
    <x v="20"/>
    <s v="PHATOM ORCHID"/>
    <s v="V12"/>
    <n v="6749"/>
    <n v="563"/>
    <n v="250"/>
    <n v="5.3"/>
    <n v="495000"/>
    <s v="Petrol"/>
    <n v="5"/>
    <n v="900"/>
  </r>
  <r>
    <x v="20"/>
    <s v="GHOST AZURE"/>
    <s v="V12"/>
    <n v="6749"/>
    <n v="563"/>
    <n v="250"/>
    <n v="4.9000000000000004"/>
    <n v="355000"/>
    <s v="Petrol"/>
    <n v="5"/>
    <n v="900"/>
  </r>
  <r>
    <x v="20"/>
    <s v="CULLINAN FUX ORANGE"/>
    <s v="V12"/>
    <n v="6749"/>
    <n v="563"/>
    <n v="250"/>
    <n v="5.0999999999999996"/>
    <n v="401000"/>
    <s v="Petrol"/>
    <n v="5"/>
    <n v="850"/>
  </r>
  <r>
    <x v="20"/>
    <s v="PHANTOM CELESTIAL"/>
    <s v="V12"/>
    <n v="6749"/>
    <n v="563"/>
    <n v="250"/>
    <n v="5.3"/>
    <n v="515000"/>
    <s v="Petrol"/>
    <n v="5"/>
    <n v="900"/>
  </r>
  <r>
    <x v="20"/>
    <s v="GHOST MYSORE"/>
    <s v="V12"/>
    <n v="6749"/>
    <n v="563"/>
    <n v="250"/>
    <n v="4.9000000000000004"/>
    <n v="375000"/>
    <s v="Petrol"/>
    <n v="5"/>
    <n v="900"/>
  </r>
  <r>
    <x v="20"/>
    <s v="CULLINAN RED DIAMOND"/>
    <s v="V12"/>
    <n v="6749"/>
    <n v="563"/>
    <n v="250"/>
    <n v="5.0999999999999996"/>
    <n v="421000"/>
    <s v="Petrol"/>
    <n v="5"/>
    <n v="850"/>
  </r>
  <r>
    <x v="6"/>
    <s v="Sierra 2500HD AT4"/>
    <s v="6.6L V8 engine"/>
    <n v="6600"/>
    <n v="401"/>
    <n v="170"/>
    <n v="7.5"/>
    <n v="70000"/>
    <s v="Petrol"/>
    <n v="5"/>
    <n v="629"/>
  </r>
  <r>
    <x v="6"/>
    <s v="Sierra 3500HD AT4"/>
    <s v="6.6L V8 engine"/>
    <n v="6600"/>
    <n v="401"/>
    <n v="170"/>
    <n v="7.7"/>
    <n v="72000"/>
    <s v="Petrol"/>
    <n v="5"/>
    <n v="629"/>
  </r>
  <r>
    <x v="6"/>
    <s v="Sierra 2500HD Denali Black Edition"/>
    <s v="6.6L V8 engine"/>
    <n v="6600"/>
    <n v="401"/>
    <n v="170"/>
    <n v="7.5"/>
    <n v="75000"/>
    <s v="Petrol"/>
    <n v="5"/>
    <n v="629"/>
  </r>
  <r>
    <x v="6"/>
    <s v="Sierra HD Denali Reserve"/>
    <s v="6.6L V8 engine"/>
    <n v="6600"/>
    <n v="401"/>
    <n v="170"/>
    <n v="7.5"/>
    <n v="85000"/>
    <s v="Petrol"/>
    <n v="5"/>
    <n v="629"/>
  </r>
  <r>
    <x v="20"/>
    <s v="GHOST"/>
    <s v="V12"/>
    <n v="6592"/>
    <n v="591"/>
    <n v="250"/>
    <n v="4.8"/>
    <n v="332000"/>
    <s v="Petrol"/>
    <n v="5"/>
    <n v="850"/>
  </r>
  <r>
    <x v="20"/>
    <s v="GHOST EXTENDED"/>
    <s v="V12"/>
    <n v="6592"/>
    <n v="591"/>
    <n v="250"/>
    <n v="4.8"/>
    <n v="370000"/>
    <s v="Petrol"/>
    <n v="5"/>
    <n v="850"/>
  </r>
  <r>
    <x v="9"/>
    <s v="CT5-V Blackwing"/>
    <s v="6.2L Supercharged V8 Gasoline"/>
    <n v="6200"/>
    <n v="668"/>
    <n v="320"/>
    <n v="3.4"/>
    <n v="92000"/>
    <s v="Petrol"/>
    <n v="5"/>
    <n v="893"/>
  </r>
  <r>
    <x v="6"/>
    <s v="Sierra 1500 Denali Ultimate"/>
    <s v="6.2L V8 engine"/>
    <n v="6162"/>
    <n v="420"/>
    <n v="200"/>
    <n v="5.8"/>
    <n v="80000"/>
    <s v="Petrol"/>
    <n v="5"/>
    <n v="624"/>
  </r>
  <r>
    <x v="6"/>
    <s v="Sierra Denali CarbonPro"/>
    <s v="6.2L V8 engine"/>
    <n v="6162"/>
    <n v="420"/>
    <n v="200"/>
    <n v="5.8"/>
    <n v="65000"/>
    <s v="Petrol"/>
    <n v="5"/>
    <n v="624"/>
  </r>
  <r>
    <x v="6"/>
    <s v="Sierra 1500 AT4X"/>
    <s v="6.2L V8 engine"/>
    <n v="6162"/>
    <n v="420"/>
    <n v="200"/>
    <n v="5.9"/>
    <n v="82000"/>
    <s v="Petrol"/>
    <n v="5"/>
    <n v="624"/>
  </r>
  <r>
    <x v="21"/>
    <s v="BENZ MAYBACH S 680"/>
    <s v="V12"/>
    <n v="5980"/>
    <n v="630"/>
    <n v="250"/>
    <n v="4.7"/>
    <n v="200000"/>
    <s v="Petrol"/>
    <n v="5"/>
    <n v="1000"/>
  </r>
  <r>
    <x v="4"/>
    <s v="Grand Cherokee Summit Reserve"/>
    <s v="5.7L V8 Gasoline"/>
    <n v="5700"/>
    <n v="357"/>
    <n v="190"/>
    <n v="7.3"/>
    <n v="66575"/>
    <s v="Petrol"/>
    <n v="5"/>
    <n v="529"/>
  </r>
  <r>
    <x v="0"/>
    <s v="TUNDRA"/>
    <s v="V8"/>
    <n v="5663"/>
    <n v="381"/>
    <n v="220"/>
    <n v="6.7"/>
    <n v="39900"/>
    <s v="Petrol"/>
    <n v="5"/>
    <n v="650"/>
  </r>
  <r>
    <x v="2"/>
    <s v="TITAN"/>
    <s v="V8"/>
    <n v="5598"/>
    <n v="400"/>
    <n v="200"/>
    <n v="5.9"/>
    <n v="40000"/>
    <s v="Petrol"/>
    <n v="5"/>
    <n v="560"/>
  </r>
  <r>
    <x v="2"/>
    <s v="Titan Warrior"/>
    <s v="5.6L V8"/>
    <n v="5552"/>
    <m/>
    <n v="180"/>
    <n v="7"/>
    <n v="55000"/>
    <s v="Petrol"/>
    <n v="5"/>
    <n v="560"/>
  </r>
  <r>
    <x v="6"/>
    <s v="Sierra 1500 SLT"/>
    <s v="5.3L V8 engine"/>
    <n v="5327"/>
    <n v="355"/>
    <n v="180"/>
    <n v="6.8"/>
    <n v="56000"/>
    <s v="Petrol"/>
    <n v="5"/>
    <n v="519"/>
  </r>
  <r>
    <x v="2"/>
    <s v="Infiniti FX50*"/>
    <s v="5.0L V8"/>
    <n v="5026"/>
    <m/>
    <n v="250"/>
    <n v="5.6"/>
    <n v="61750"/>
    <s v="Petrol"/>
    <n v="5"/>
    <n v="500"/>
  </r>
  <r>
    <x v="22"/>
    <s v="X5 M COMPETITION"/>
    <s v="V8"/>
    <n v="4935"/>
    <n v="523"/>
    <n v="285"/>
    <n v="4.0999999999999996"/>
    <n v="114000"/>
    <s v="Petrol"/>
    <n v="5"/>
    <n v="750"/>
  </r>
  <r>
    <x v="2"/>
    <s v="Infiniti M45*"/>
    <s v="4.5L V8"/>
    <n v="4494"/>
    <m/>
    <n v="250"/>
    <n v="5.8"/>
    <n v="50000"/>
    <s v="Petrol"/>
    <n v="5"/>
    <n v="451"/>
  </r>
  <r>
    <x v="2"/>
    <s v="President"/>
    <s v="4.5L V8"/>
    <n v="4494"/>
    <m/>
    <n v="210"/>
    <n v="7.5"/>
    <n v="70000"/>
    <s v="Petrol"/>
    <n v="5"/>
    <n v="400"/>
  </r>
  <r>
    <x v="2"/>
    <s v="Infiniti Q45*"/>
    <s v="4.5L V8"/>
    <n v="4494"/>
    <m/>
    <n v="240"/>
    <n v="6.2"/>
    <n v="50000"/>
    <s v="Petrol"/>
    <n v="5"/>
    <n v="450"/>
  </r>
  <r>
    <x v="22"/>
    <s v="M5 CS"/>
    <s v="V8"/>
    <n v="4395"/>
    <n v="627"/>
    <n v="305"/>
    <n v="3"/>
    <n v="142000"/>
    <s v="Petrol"/>
    <n v="5"/>
    <n v="750"/>
  </r>
  <r>
    <x v="22"/>
    <s v="M8 GRAN COUPE"/>
    <s v="V8"/>
    <n v="4395"/>
    <n v="523"/>
    <n v="305"/>
    <n v="3.3"/>
    <n v="146000"/>
    <s v="Petrol"/>
    <n v="5"/>
    <n v="750"/>
  </r>
  <r>
    <x v="22"/>
    <s v="M550i XDRIVE"/>
    <s v="V8"/>
    <n v="4395"/>
    <n v="523"/>
    <n v="250"/>
    <n v="3.6"/>
    <n v="78000"/>
    <s v="Petrol"/>
    <n v="5"/>
    <n v="650"/>
  </r>
  <r>
    <x v="2"/>
    <s v="Cima"/>
    <s v="4.1L V8"/>
    <n v="4130"/>
    <m/>
    <n v="210"/>
    <n v="8"/>
    <n v="60000"/>
    <s v="Petrol"/>
    <n v="5"/>
    <n v="390"/>
  </r>
  <r>
    <x v="23"/>
    <s v="URUS GRAPHITE CAPSULE"/>
    <s v="V8"/>
    <n v="3998"/>
    <n v="641"/>
    <n v="305"/>
    <n v="3.3"/>
    <n v="253000"/>
    <s v="Petrol"/>
    <n v="5"/>
    <n v="850"/>
  </r>
  <r>
    <x v="24"/>
    <s v="DBX"/>
    <s v="V8"/>
    <n v="3996"/>
    <n v="542"/>
    <n v="291"/>
    <n v="4.5"/>
    <n v="189000"/>
    <s v="Petrol"/>
    <n v="5"/>
    <n v="700"/>
  </r>
  <r>
    <x v="23"/>
    <s v="URUS "/>
    <s v="V8"/>
    <n v="3996"/>
    <n v="641"/>
    <n v="305"/>
    <n v="3.6"/>
    <n v="211000"/>
    <s v="Petrol"/>
    <n v="5"/>
    <n v="850"/>
  </r>
  <r>
    <x v="23"/>
    <s v="URUS PERFORMANTE"/>
    <s v="V8"/>
    <n v="3996"/>
    <n v="641"/>
    <n v="305"/>
    <n v="3.3"/>
    <n v="242000"/>
    <s v="Petrol"/>
    <n v="5"/>
    <n v="850"/>
  </r>
  <r>
    <x v="23"/>
    <s v="URUS S"/>
    <s v="V8"/>
    <n v="3996"/>
    <n v="671"/>
    <n v="305"/>
    <n v="3.3"/>
    <n v="263000"/>
    <s v="Petrol"/>
    <n v="5"/>
    <n v="850"/>
  </r>
  <r>
    <x v="3"/>
    <s v="Amarok V8"/>
    <s v="4.0L V8 Turbo Diesel"/>
    <n v="3996"/>
    <n v="325"/>
    <n v="210"/>
    <n v="7.4"/>
    <n v="70000"/>
    <s v="Diesel"/>
    <n v="5"/>
    <n v="580"/>
  </r>
  <r>
    <x v="25"/>
    <s v="Cayenne Turbo"/>
    <s v="4.0L V8 Twin Turbo"/>
    <n v="3996"/>
    <m/>
    <n v="286"/>
    <n v="4"/>
    <n v="130000"/>
    <s v="Petrol"/>
    <n v="5"/>
    <n v="770"/>
  </r>
  <r>
    <x v="25"/>
    <s v="Cayenne GTS"/>
    <s v="4.0L V8 Twin Turbo"/>
    <n v="3996"/>
    <m/>
    <n v="270"/>
    <n v="4.5"/>
    <n v="110000"/>
    <s v="Petrol"/>
    <n v="5"/>
    <n v="620"/>
  </r>
  <r>
    <x v="14"/>
    <s v="RS7 SPORTBACK"/>
    <s v="V8"/>
    <n v="3993"/>
    <n v="591"/>
    <n v="305"/>
    <n v="3.6"/>
    <n v="114000"/>
    <s v="Petrol"/>
    <n v="5"/>
    <n v="800"/>
  </r>
  <r>
    <x v="14"/>
    <s v="S8"/>
    <s v="V8"/>
    <n v="3993"/>
    <n v="563"/>
    <n v="305"/>
    <n v="4.3"/>
    <n v="101000"/>
    <s v="Petrol"/>
    <n v="5"/>
    <n v="800"/>
  </r>
  <r>
    <x v="14"/>
    <s v="RS6 AVANT"/>
    <s v="V8"/>
    <n v="3993"/>
    <n v="591"/>
    <n v="305"/>
    <n v="3.6"/>
    <n v="109000"/>
    <s v="Petrol"/>
    <n v="5"/>
    <n v="800"/>
  </r>
  <r>
    <x v="14"/>
    <s v="S7 SPORTBACK"/>
    <s v="V8"/>
    <n v="3993"/>
    <n v="563"/>
    <n v="305"/>
    <n v="4.3"/>
    <n v="96000"/>
    <s v="Petrol"/>
    <n v="5"/>
    <n v="650"/>
  </r>
  <r>
    <x v="21"/>
    <s v="BENZ S-CLASS S 580"/>
    <s v="V8"/>
    <n v="3982"/>
    <n v="496"/>
    <n v="250"/>
    <n v="4.4000000000000004"/>
    <n v="116000"/>
    <s v="Petrol"/>
    <n v="5"/>
    <n v="700"/>
  </r>
  <r>
    <x v="21"/>
    <s v="BENZ E-CLASS E 63 S"/>
    <s v="V8"/>
    <n v="3982"/>
    <n v="603"/>
    <n v="250"/>
    <n v="3.4"/>
    <n v="104000"/>
    <s v="Petrol"/>
    <n v="5"/>
    <n v="850"/>
  </r>
  <r>
    <x v="21"/>
    <s v="BENZ GLE 63 S"/>
    <s v="V8"/>
    <n v="3982"/>
    <n v="603"/>
    <n v="250"/>
    <n v="4.2"/>
    <n v="113000"/>
    <s v="Petrol"/>
    <n v="5"/>
    <n v="850"/>
  </r>
  <r>
    <x v="0"/>
    <s v="4RUNNER "/>
    <s v="V6"/>
    <n v="3956"/>
    <n v="270"/>
    <n v="200"/>
    <n v="7.5"/>
    <n v="37400"/>
    <s v="Petrol"/>
    <n v="5"/>
    <n v="400"/>
  </r>
  <r>
    <x v="3"/>
    <s v="Touareg V8"/>
    <s v="4.0L V8 Turbo Diesel"/>
    <n v="3956"/>
    <n v="421"/>
    <n v="250"/>
    <n v="4.9000000000000004"/>
    <n v="70000"/>
    <s v="Petrol"/>
    <n v="5"/>
    <n v="770"/>
  </r>
  <r>
    <x v="10"/>
    <s v="Genesis"/>
    <s v="3.8L V6"/>
    <n v="3800"/>
    <n v="291"/>
    <n v="240"/>
    <n v="6.3"/>
    <n v="52000"/>
    <s v="Petrol"/>
    <n v="5"/>
    <n v="400"/>
  </r>
  <r>
    <x v="13"/>
    <s v="Endeavor"/>
    <s v="3.8L V6"/>
    <n v="3800"/>
    <n v="225"/>
    <n v="190"/>
    <n v="9.5"/>
    <n v="31500"/>
    <s v="Petrol"/>
    <n v="5"/>
    <n v="343"/>
  </r>
  <r>
    <x v="2"/>
    <s v="FRONTIER"/>
    <s v="V6"/>
    <n v="3799"/>
    <n v="310"/>
    <n v="180"/>
    <n v="6.8"/>
    <n v="30000"/>
    <s v="Petrol"/>
    <n v="5"/>
    <n v="381"/>
  </r>
  <r>
    <x v="2"/>
    <s v="Infiniti G37*"/>
    <s v="3.7L V6"/>
    <n v="3696"/>
    <m/>
    <n v="250"/>
    <n v="5.5"/>
    <n v="42000"/>
    <s v="Petrol"/>
    <n v="5"/>
    <n v="365"/>
  </r>
  <r>
    <x v="4"/>
    <s v="Grand Cherokee"/>
    <s v="3.6L V6 Pentastar Gasoline"/>
    <n v="3600"/>
    <n v="293"/>
    <n v="209"/>
    <n v="7"/>
    <n v="41530"/>
    <s v="Petrol"/>
    <n v="5"/>
    <n v="352"/>
  </r>
  <r>
    <x v="4"/>
    <s v="Gladiator"/>
    <s v="3.6L V6 Pentastar Gasoline"/>
    <n v="3600"/>
    <n v="285"/>
    <n v="177"/>
    <n v="8.1"/>
    <n v="38775"/>
    <s v="Petrol"/>
    <n v="5"/>
    <n v="353"/>
  </r>
  <r>
    <x v="4"/>
    <s v="Gladiator Mojave Edition"/>
    <s v="3.6L V6 Pentastar Gasoline"/>
    <n v="3600"/>
    <n v="285"/>
    <n v="177"/>
    <n v="8.6"/>
    <n v="51570"/>
    <s v="Petrol"/>
    <n v="5"/>
    <n v="353"/>
  </r>
  <r>
    <x v="9"/>
    <s v="XT5"/>
    <s v="3.6L V6 Gasoline"/>
    <n v="3600"/>
    <n v="310"/>
    <n v="210"/>
    <n v="6.5"/>
    <n v="44195"/>
    <s v="Petrol"/>
    <n v="5"/>
    <n v="366"/>
  </r>
  <r>
    <x v="9"/>
    <s v="CT4-V Blackwing"/>
    <s v="3.6L Twin-Turbo V6 Gasoline"/>
    <n v="3600"/>
    <n v="472"/>
    <n v="290"/>
    <n v="3.9"/>
    <n v="60495"/>
    <s v="Petrol"/>
    <n v="5"/>
    <n v="603"/>
  </r>
  <r>
    <x v="9"/>
    <s v="XT5 Sport"/>
    <s v="3.6L V6 Gasoline"/>
    <n v="3600"/>
    <n v="310"/>
    <n v="210"/>
    <n v="6.5"/>
    <n v="51095"/>
    <s v="Petrol"/>
    <n v="5"/>
    <n v="366"/>
  </r>
  <r>
    <x v="5"/>
    <s v="Blazer"/>
    <s v="3.6L V6 Gasoline"/>
    <n v="3600"/>
    <n v="308"/>
    <n v="220"/>
    <n v="6.6"/>
    <n v="44000"/>
    <s v="Petrol"/>
    <n v="5"/>
    <n v="366"/>
  </r>
  <r>
    <x v="5"/>
    <s v="Blazer RS"/>
    <s v="3.6L V6 Gasoline"/>
    <n v="3600"/>
    <n v="308"/>
    <n v="220"/>
    <n v="6.6"/>
    <n v="48900"/>
    <s v="Petrol"/>
    <n v="5"/>
    <n v="366"/>
  </r>
  <r>
    <x v="5"/>
    <s v="Blazer Premier"/>
    <s v="3.6L V6 Gasoline"/>
    <n v="3600"/>
    <n v="308"/>
    <n v="220"/>
    <n v="6.6"/>
    <n v="45000"/>
    <s v="Petrol"/>
    <n v="5"/>
    <n v="366"/>
  </r>
  <r>
    <x v="6"/>
    <s v="Canyon Denali Black Edition"/>
    <s v="3.6L V6 engine"/>
    <n v="3564"/>
    <n v="308"/>
    <n v="180"/>
    <n v="6.9"/>
    <n v="44000"/>
    <s v="Petrol"/>
    <n v="5"/>
    <n v="373"/>
  </r>
  <r>
    <x v="6"/>
    <s v="Canyon AT4X"/>
    <s v="3.6L V6 engine"/>
    <n v="3564"/>
    <n v="308"/>
    <n v="180"/>
    <n v="6.9"/>
    <n v="50000"/>
    <s v="Petrol"/>
    <n v="5"/>
    <n v="373"/>
  </r>
  <r>
    <x v="6"/>
    <s v="Canyon AT4X Edition 1"/>
    <s v="3.6L V6 engine"/>
    <n v="3564"/>
    <n v="308"/>
    <n v="180"/>
    <n v="6.8"/>
    <n v="55000"/>
    <s v="Petrol"/>
    <n v="5"/>
    <n v="373"/>
  </r>
  <r>
    <x v="0"/>
    <s v="CAMRY"/>
    <s v="V6"/>
    <n v="3500"/>
    <n v="301"/>
    <n v="220"/>
    <n v="6"/>
    <n v="27000"/>
    <s v="Petrol/Hybrid"/>
    <n v="5"/>
    <n v="250"/>
  </r>
  <r>
    <x v="11"/>
    <s v="TLX 3.5L V6"/>
    <s v="V6"/>
    <n v="3500"/>
    <n v="290"/>
    <n v="250"/>
    <n v="5.7"/>
    <n v="50000"/>
    <s v="Petrol"/>
    <n v="5"/>
    <n v="362"/>
  </r>
  <r>
    <x v="11"/>
    <s v="TLX V6 Advance"/>
    <s v="V6"/>
    <n v="3500"/>
    <n v="290"/>
    <n v="250"/>
    <n v="5.7"/>
    <n v="46000"/>
    <s v="Petrol"/>
    <n v="5"/>
    <n v="362"/>
  </r>
  <r>
    <x v="1"/>
    <s v="F-150 Raptor"/>
    <s v="3.5L Twin-Turbo V6"/>
    <n v="3500"/>
    <n v="450"/>
    <n v="200"/>
    <n v="5"/>
    <n v="70000"/>
    <s v="Petrol"/>
    <n v="5"/>
    <n v="691"/>
  </r>
  <r>
    <x v="1"/>
    <s v="F-150 Platinum"/>
    <s v="Turbocharged V6"/>
    <n v="3500"/>
    <n v="400"/>
    <n v="180"/>
    <n v="6.5"/>
    <n v="64695"/>
    <s v="Petrol"/>
    <n v="5"/>
    <n v="678"/>
  </r>
  <r>
    <x v="1"/>
    <s v="F-150 Limited"/>
    <s v="Turbocharged V6"/>
    <n v="3500"/>
    <n v="450"/>
    <n v="190"/>
    <n v="6.1"/>
    <n v="84910"/>
    <s v="Petrol"/>
    <n v="5"/>
    <n v="678"/>
  </r>
  <r>
    <x v="2"/>
    <s v="MAXIMA"/>
    <s v="V6"/>
    <n v="3498"/>
    <n v="300"/>
    <n v="240"/>
    <n v="5.8"/>
    <n v="35000"/>
    <s v="Petrol"/>
    <n v="5"/>
    <n v="354"/>
  </r>
  <r>
    <x v="2"/>
    <s v="Murano"/>
    <s v="3.5L V6"/>
    <n v="3498"/>
    <m/>
    <n v="210"/>
    <n v="7.5"/>
    <n v="39000"/>
    <s v="Petrol"/>
    <n v="5"/>
    <n v="325"/>
  </r>
  <r>
    <x v="2"/>
    <s v="Maxima Platinum"/>
    <s v="3.5L V6"/>
    <n v="3498"/>
    <m/>
    <n v="220"/>
    <n v="6.2"/>
    <n v="45000"/>
    <s v="Petrol"/>
    <n v="5"/>
    <n v="353"/>
  </r>
  <r>
    <x v="0"/>
    <s v="AVALON"/>
    <s v="V6"/>
    <n v="3456"/>
    <n v="301"/>
    <n v="220"/>
    <n v="6.9"/>
    <n v="41400"/>
    <s v="Petrol"/>
    <n v="5"/>
    <n v="400"/>
  </r>
  <r>
    <x v="0"/>
    <s v="TUNDRA HYBRID"/>
    <s v="V6"/>
    <n v="3456"/>
    <n v="344"/>
    <n v="220"/>
    <n v="6.2"/>
    <n v="43400"/>
    <s v="Hybrid"/>
    <n v="5"/>
    <n v="650"/>
  </r>
  <r>
    <x v="0"/>
    <s v="CENTURY SUV"/>
    <s v="3.5L,V6,PLUG IN HYBRID"/>
    <n v="3456"/>
    <n v="406"/>
    <n v="200"/>
    <n v="6"/>
    <n v="170000"/>
    <s v="Petrol"/>
    <n v="5"/>
    <n v="500"/>
  </r>
  <r>
    <x v="0"/>
    <s v="TUNDRA I-FORCE MAX"/>
    <s v="3.5L,V6,HYBRID TWIN-TURBO"/>
    <n v="3445"/>
    <n v="437"/>
    <n v="180"/>
    <n v="6.2"/>
    <n v="56000"/>
    <s v="Hybrid"/>
    <n v="5"/>
    <n v="750"/>
  </r>
  <r>
    <x v="10"/>
    <s v="Azera"/>
    <s v="3.3L V6"/>
    <n v="3300"/>
    <n v="278"/>
    <n v="240"/>
    <n v="6.5"/>
    <n v="55000"/>
    <s v="Petrol"/>
    <n v="5"/>
    <n v="250"/>
  </r>
  <r>
    <x v="10"/>
    <s v="Equus"/>
    <s v="3.3L V6"/>
    <n v="3300"/>
    <n v="278"/>
    <n v="240"/>
    <n v="6.5"/>
    <n v="55000"/>
    <s v="Petrol"/>
    <n v="5"/>
    <n v="400"/>
  </r>
  <r>
    <x v="7"/>
    <s v="Stinger GT"/>
    <s v="3.3L Turbocharged V6"/>
    <n v="3300"/>
    <n v="365"/>
    <n v="270"/>
    <n v="4.7"/>
    <n v="51500"/>
    <s v="Petrol"/>
    <n v="5"/>
    <n v="510"/>
  </r>
  <r>
    <x v="2"/>
    <s v="Terrano Regulus"/>
    <s v="3.3L V6"/>
    <n v="3275"/>
    <m/>
    <n v="175"/>
    <n v="10"/>
    <n v="28000"/>
    <s v="Petrol"/>
    <n v="5"/>
    <n v="290"/>
  </r>
  <r>
    <x v="4"/>
    <s v="Jeep Cherokee X Edition"/>
    <s v="3.2L V6 Pentastar Gasoline"/>
    <n v="3200"/>
    <n v="271"/>
    <n v="195"/>
    <n v="7.6"/>
    <n v="41295"/>
    <s v="Petrol"/>
    <n v="5"/>
    <n v="324"/>
  </r>
  <r>
    <x v="13"/>
    <s v="Pajero SWB (Short Wheel Base)"/>
    <s v="3.2L Diesel Turbo"/>
    <n v="3200"/>
    <n v="189"/>
    <n v="180"/>
    <n v="10.5"/>
    <n v="47500"/>
    <s v="Diesel"/>
    <n v="5"/>
    <n v="441"/>
  </r>
  <r>
    <x v="12"/>
    <s v="BT-50"/>
    <s v="3.2L Turbo Diesel"/>
    <n v="3200"/>
    <n v="200"/>
    <n v="180"/>
    <n v="10"/>
    <n v="31000"/>
    <s v="Diesel"/>
    <n v="5"/>
    <n v="470"/>
  </r>
  <r>
    <x v="3"/>
    <s v="Golf R32"/>
    <s v="3.2L VR6"/>
    <n v="3189"/>
    <n v="240"/>
    <n v="250"/>
    <n v="6.2"/>
    <n v="40000"/>
    <s v="Petrol"/>
    <n v="5"/>
    <n v="320"/>
  </r>
  <r>
    <x v="9"/>
    <s v="CT5-V"/>
    <s v="3.0L Twin-Turbo V6 Gasoline"/>
    <n v="3000"/>
    <n v="360"/>
    <n v="250"/>
    <n v="4.5999999999999996"/>
    <n v="50995"/>
    <s v="Petrol"/>
    <n v="5"/>
    <n v="550"/>
  </r>
  <r>
    <x v="11"/>
    <s v="TLX Type S PMC Edition"/>
    <s v="Turbocharged V6"/>
    <n v="3000"/>
    <n v="355"/>
    <n v="250"/>
    <n v="5.0999999999999996"/>
    <n v="54000"/>
    <s v="Petrol"/>
    <n v="5"/>
    <n v="480"/>
  </r>
  <r>
    <x v="13"/>
    <s v="Sigma"/>
    <s v="3.0L V6"/>
    <n v="3000"/>
    <n v="210"/>
    <n v="220"/>
    <n v="8.5"/>
    <n v="37500"/>
    <s v="Petrol"/>
    <n v="5"/>
    <n v="270"/>
  </r>
  <r>
    <x v="12"/>
    <s v="Tribute"/>
    <s v="3.0L V6"/>
    <n v="3000"/>
    <n v="200"/>
    <n v="190"/>
    <n v="9"/>
    <n v="27000"/>
    <s v="Petrol"/>
    <n v="5"/>
    <n v="270"/>
  </r>
  <r>
    <x v="12"/>
    <s v="929"/>
    <s v="3.0L V6"/>
    <n v="3000"/>
    <n v="205"/>
    <n v="220"/>
    <n v="8"/>
    <n v="27500"/>
    <s v="Petrol"/>
    <n v="5"/>
    <n v="270"/>
  </r>
  <r>
    <x v="12"/>
    <s v="Sentia"/>
    <s v="3.0L V6"/>
    <n v="3000"/>
    <n v="200"/>
    <n v="200"/>
    <n v="9"/>
    <n v="25000"/>
    <s v="Petrol"/>
    <n v="5"/>
    <n v="265"/>
  </r>
  <r>
    <x v="12"/>
    <s v="Xedos 9"/>
    <s v="3.0L V6"/>
    <n v="3000"/>
    <n v="200"/>
    <n v="220"/>
    <n v="7.5"/>
    <n v="32500"/>
    <s v="Petrol"/>
    <n v="5"/>
    <n v="260"/>
  </r>
  <r>
    <x v="22"/>
    <s v="M340i XDRIVE"/>
    <s v="I6"/>
    <n v="2998"/>
    <n v="382"/>
    <n v="250"/>
    <n v="4.0999999999999996"/>
    <n v="57000"/>
    <s v="Petrol"/>
    <n v="5"/>
    <n v="500"/>
  </r>
  <r>
    <x v="2"/>
    <s v="Skyline"/>
    <s v="3.0L V6 Twin-Turbo"/>
    <n v="2997"/>
    <m/>
    <n v="250"/>
    <n v="5"/>
    <n v="50000"/>
    <s v="Petrol"/>
    <n v="5"/>
    <n v="475"/>
  </r>
  <r>
    <x v="2"/>
    <s v="Skyline NISMO"/>
    <s v="3.0L Twin-Turbo V6"/>
    <n v="2997"/>
    <m/>
    <n v="270"/>
    <n v="4.7"/>
    <n v="55000"/>
    <s v="Petrol"/>
    <n v="5"/>
    <n v="475"/>
  </r>
  <r>
    <x v="2"/>
    <s v="Skyline 400R"/>
    <s v="3.0L Twin-Turbo V6"/>
    <n v="2997"/>
    <m/>
    <n v="250"/>
    <n v="4.5"/>
    <n v="70000"/>
    <s v="Petrol"/>
    <n v="5"/>
    <n v="475"/>
  </r>
  <r>
    <x v="2"/>
    <s v="Skyline 50th Anniversary"/>
    <s v="3.0L Twin-Turbo V6"/>
    <n v="2997"/>
    <m/>
    <n v="250"/>
    <n v="4.5"/>
    <n v="75000"/>
    <s v="Petrol"/>
    <n v="5"/>
    <n v="475"/>
  </r>
  <r>
    <x v="21"/>
    <s v="BENZ S-CLASS S 500"/>
    <s v="V6"/>
    <n v="2996"/>
    <n v="429"/>
    <n v="250"/>
    <n v="4.9000000000000004"/>
    <n v="109000"/>
    <s v="Petrol"/>
    <n v="5"/>
    <n v="700"/>
  </r>
  <r>
    <x v="21"/>
    <s v="BENZ E-CLASS E 450 "/>
    <s v="V6"/>
    <n v="2996"/>
    <n v="362"/>
    <n v="250"/>
    <n v="5.2"/>
    <n v="62000"/>
    <s v="Petrol"/>
    <n v="5"/>
    <n v="500"/>
  </r>
  <r>
    <x v="21"/>
    <s v="BENZ CLS 450"/>
    <s v="V6"/>
    <n v="2996"/>
    <n v="362"/>
    <n v="250"/>
    <n v="5.2"/>
    <n v="70000"/>
    <s v="Petrol"/>
    <n v="5"/>
    <n v="500"/>
  </r>
  <r>
    <x v="21"/>
    <s v="BENZ GT 53"/>
    <s v="V6"/>
    <n v="2996"/>
    <n v="429"/>
    <n v="250"/>
    <n v="4.5"/>
    <n v="99000"/>
    <s v="Petrol"/>
    <n v="5"/>
    <n v="700"/>
  </r>
  <r>
    <x v="21"/>
    <s v="BENZ GLE 450"/>
    <s v="V6"/>
    <n v="2996"/>
    <n v="362"/>
    <n v="250"/>
    <n v="5.5"/>
    <n v="63000"/>
    <s v="Petrol"/>
    <n v="5"/>
    <n v="500"/>
  </r>
  <r>
    <x v="21"/>
    <s v="BENZ C-CLASS C 43"/>
    <s v="V6"/>
    <n v="2996"/>
    <n v="402"/>
    <n v="250"/>
    <n v="4.7"/>
    <n v="52000"/>
    <s v="Petrol"/>
    <n v="5"/>
    <n v="520"/>
  </r>
  <r>
    <x v="21"/>
    <s v="BENZ GLC 43"/>
    <s v="V6"/>
    <n v="2996"/>
    <n v="402"/>
    <n v="250"/>
    <n v="4.7"/>
    <n v="54000"/>
    <s v="Petrol"/>
    <n v="5"/>
    <n v="520"/>
  </r>
  <r>
    <x v="21"/>
    <s v="BENZ GLE 53"/>
    <s v="V6"/>
    <n v="2996"/>
    <n v="429"/>
    <n v="250"/>
    <n v="5.2"/>
    <n v="71000"/>
    <s v="Petrol"/>
    <n v="5"/>
    <n v="620"/>
  </r>
  <r>
    <x v="14"/>
    <s v="A8"/>
    <s v="V6"/>
    <n v="2995"/>
    <n v="335"/>
    <n v="250"/>
    <n v="5.7"/>
    <n v="86000"/>
    <s v="Petrol"/>
    <n v="5"/>
    <n v="600"/>
  </r>
  <r>
    <x v="14"/>
    <s v="SQ5"/>
    <s v="V6"/>
    <n v="2995"/>
    <n v="349"/>
    <n v="250"/>
    <n v="5.4"/>
    <n v="62000"/>
    <s v="Petrol"/>
    <n v="5"/>
    <n v="500"/>
  </r>
  <r>
    <x v="14"/>
    <s v="S4 SEDAN"/>
    <s v="V6"/>
    <n v="2995"/>
    <n v="349"/>
    <n v="250"/>
    <n v="4.7"/>
    <n v="59000"/>
    <s v="Petrol"/>
    <n v="5"/>
    <n v="500"/>
  </r>
  <r>
    <x v="14"/>
    <s v="A7"/>
    <s v="V6"/>
    <n v="2995"/>
    <n v="335"/>
    <n v="250"/>
    <n v="5.7"/>
    <n v="68000"/>
    <s v="Petrol"/>
    <n v="5"/>
    <n v="600"/>
  </r>
  <r>
    <x v="14"/>
    <s v="A6"/>
    <s v="V6"/>
    <n v="2995"/>
    <n v="335"/>
    <n v="250"/>
    <n v="5.7"/>
    <n v="58000"/>
    <s v="Petrol"/>
    <n v="5"/>
    <n v="600"/>
  </r>
  <r>
    <x v="3"/>
    <s v="Touareg R"/>
    <s v="Plug-in Hybrid V6"/>
    <n v="2995"/>
    <n v="462"/>
    <n v="250"/>
    <n v="5.0999999999999996"/>
    <n v="70000"/>
    <s v="Hybrid"/>
    <n v="5"/>
    <n v="700"/>
  </r>
  <r>
    <x v="25"/>
    <s v="Cayenne"/>
    <s v="3.0L V6 Turbo"/>
    <n v="2995"/>
    <m/>
    <n v="245"/>
    <n v="5.9"/>
    <n v="80000"/>
    <s v="Petrol"/>
    <n v="5"/>
    <n v="450"/>
  </r>
  <r>
    <x v="25"/>
    <s v="Cayenne Coupe"/>
    <s v="3.0L V6 Turbo"/>
    <n v="2995"/>
    <m/>
    <n v="245"/>
    <n v="6"/>
    <n v="85000"/>
    <s v="Petrol"/>
    <n v="5"/>
    <n v="450"/>
  </r>
  <r>
    <x v="25"/>
    <s v="Cayenne Base"/>
    <s v="3.0L Turbocharged V6"/>
    <n v="2995"/>
    <n v="335"/>
    <n v="245"/>
    <n v="5.9"/>
    <n v="72200"/>
    <s v="Petrol"/>
    <n v="5"/>
    <n v="450"/>
  </r>
  <r>
    <x v="25"/>
    <s v="Cayenne E-Hybrid"/>
    <s v="3.0L V6 + Electric Motor"/>
    <n v="2995"/>
    <n v="455"/>
    <n v="253"/>
    <n v="4.8"/>
    <n v="91000"/>
    <s v="Hybrid"/>
    <n v="5"/>
    <n v="700"/>
  </r>
  <r>
    <x v="25"/>
    <s v="Cayenne Platinum Edition"/>
    <s v="3.0L Turbocharged V6"/>
    <n v="2995"/>
    <n v="335"/>
    <n v="245"/>
    <n v="5.8"/>
    <n v="79000"/>
    <s v="Petrol"/>
    <n v="5"/>
    <n v="450"/>
  </r>
  <r>
    <x v="25"/>
    <s v="Cayenne S Hybrid"/>
    <s v="3.0L V6 + Electric Motor"/>
    <n v="2995"/>
    <n v="380"/>
    <n v="242"/>
    <n v="6.5"/>
    <n v="85500"/>
    <s v="Hybrid"/>
    <n v="5"/>
    <n v="580"/>
  </r>
  <r>
    <x v="22"/>
    <s v="M3 COMPETITION"/>
    <s v="I6"/>
    <n v="2993"/>
    <n v="503"/>
    <n v="285"/>
    <n v="3.5"/>
    <n v="76000"/>
    <s v="Petrol"/>
    <n v="5"/>
    <n v="650"/>
  </r>
  <r>
    <x v="22"/>
    <s v="X3 M COMPETITION"/>
    <s v="I6"/>
    <n v="2993"/>
    <n v="503"/>
    <n v="285"/>
    <n v="4.0999999999999996"/>
    <n v="69000"/>
    <s v="Petrol"/>
    <n v="5"/>
    <n v="650"/>
  </r>
  <r>
    <x v="3"/>
    <s v="Amarok"/>
    <s v="3.0L V6 Turbo Diesel"/>
    <n v="2967"/>
    <n v="210"/>
    <n v="180"/>
    <n v="7.9"/>
    <n v="40000"/>
    <s v="Diesel"/>
    <n v="5"/>
    <n v="550"/>
  </r>
  <r>
    <x v="3"/>
    <s v="Amarok V6"/>
    <s v="3.0L V6 Turbo Diesel"/>
    <n v="2967"/>
    <n v="231"/>
    <n v="191"/>
    <n v="7.9"/>
    <n v="45000"/>
    <s v="Diesel"/>
    <n v="5"/>
    <n v="580"/>
  </r>
  <r>
    <x v="3"/>
    <s v="Touareg V6"/>
    <s v="3.0L V6 Turbo Diesel / Gasoline"/>
    <n v="2967"/>
    <n v="286"/>
    <n v="235"/>
    <n v="7.5"/>
    <n v="60000"/>
    <s v="Petrol"/>
    <n v="5"/>
    <n v="450"/>
  </r>
  <r>
    <x v="25"/>
    <s v="Cayenne Diesel (Regional Markets)"/>
    <s v="3.0L Turbo Diesel V6"/>
    <n v="2967"/>
    <n v="262"/>
    <n v="221"/>
    <n v="7.3"/>
    <n v="69000"/>
    <s v="Diesel"/>
    <n v="5"/>
    <n v="580"/>
  </r>
  <r>
    <x v="2"/>
    <s v="Leopard"/>
    <s v="3.0L V6"/>
    <n v="2960"/>
    <m/>
    <n v="200"/>
    <n v="8.4"/>
    <n v="32000"/>
    <s v="Petrol"/>
    <n v="5"/>
    <n v="265"/>
  </r>
  <r>
    <x v="2"/>
    <s v="Cedric Special Edition"/>
    <s v="3.0L V6"/>
    <n v="2960"/>
    <m/>
    <n v="225"/>
    <n v="8.5"/>
    <n v="60000"/>
    <s v="Petrol"/>
    <n v="5"/>
    <n v="330"/>
  </r>
  <r>
    <x v="2"/>
    <s v="Leopard J. Ferie"/>
    <s v="3.0L V6 Turbo"/>
    <n v="2960"/>
    <m/>
    <n v="215"/>
    <n v="6.5"/>
    <n v="45000"/>
    <s v="Petrol"/>
    <n v="5"/>
    <n v="340"/>
  </r>
  <r>
    <x v="2"/>
    <s v="Gloria Gran Turismo"/>
    <s v="3.0L V6 Turbo"/>
    <n v="2960"/>
    <m/>
    <n v="220"/>
    <n v="6.5"/>
    <n v="50000"/>
    <s v="Petrol"/>
    <n v="5"/>
    <n v="340"/>
  </r>
  <r>
    <x v="25"/>
    <s v="Cayenne S"/>
    <s v="2.9L V6 Twin Turbo"/>
    <n v="2894"/>
    <m/>
    <n v="265"/>
    <n v="5"/>
    <n v="95000"/>
    <s v="Petrol"/>
    <n v="5"/>
    <n v="550"/>
  </r>
  <r>
    <x v="25"/>
    <s v="Macan S"/>
    <s v="2.9L V6 Twin Turbo"/>
    <n v="2894"/>
    <m/>
    <n v="259"/>
    <n v="4.8"/>
    <n v="75000"/>
    <s v="Petrol"/>
    <n v="5"/>
    <n v="520"/>
  </r>
  <r>
    <x v="25"/>
    <s v="Macan GTS"/>
    <s v="2.9L V6 Twin Turbo"/>
    <n v="2894"/>
    <m/>
    <n v="272"/>
    <n v="4.5"/>
    <n v="85000"/>
    <s v="Petrol"/>
    <n v="5"/>
    <n v="550"/>
  </r>
  <r>
    <x v="2"/>
    <s v="Laurel"/>
    <s v="2.8L Inline-6 Diesel"/>
    <n v="2825"/>
    <m/>
    <n v="160"/>
    <n v="12.5"/>
    <n v="22000"/>
    <s v="Diesel"/>
    <n v="5"/>
    <n v="184"/>
  </r>
  <r>
    <x v="5"/>
    <s v="Colorado ZR2"/>
    <s v="2.8L Turbo Diesel I4"/>
    <n v="2800"/>
    <n v="181"/>
    <n v="160"/>
    <n v="9.1"/>
    <n v="48295"/>
    <s v="Diesel"/>
    <n v="5"/>
    <n v="500"/>
  </r>
  <r>
    <x v="0"/>
    <s v="HILUX GR SPORT"/>
    <s v="2.8L,TURBO,DIESEL"/>
    <n v="2755"/>
    <n v="224"/>
    <n v="170"/>
    <n v="10"/>
    <n v="50000"/>
    <s v="Petrol/Diesel"/>
    <n v="5"/>
    <n v="500"/>
  </r>
  <r>
    <x v="0"/>
    <s v="HILUX REVO ROCCO"/>
    <s v="2.8L,TURBO,DIESEL"/>
    <n v="2755"/>
    <n v="204"/>
    <n v="175"/>
    <n v="10"/>
    <n v="50000"/>
    <s v="Diesel"/>
    <n v="5"/>
    <n v="500"/>
  </r>
  <r>
    <x v="6"/>
    <s v="Sierra 1500 Elevation"/>
    <s v="2.7L Turbo engine"/>
    <n v="2713"/>
    <n v="310"/>
    <n v="180"/>
    <n v="7"/>
    <n v="52000"/>
    <s v="Petrol"/>
    <n v="5"/>
    <n v="569"/>
  </r>
  <r>
    <x v="9"/>
    <s v="CT4-V"/>
    <s v="2.7L Turbo Inline-4 Gasoline"/>
    <n v="2700"/>
    <n v="325"/>
    <n v="260"/>
    <n v="4.9000000000000004"/>
    <n v="46595"/>
    <s v="Petrol"/>
    <n v="5"/>
    <n v="500"/>
  </r>
  <r>
    <x v="5"/>
    <s v="Colorado"/>
    <s v="2.7L Turbo Inline-4 Gasoline"/>
    <n v="2700"/>
    <n v="310"/>
    <n v="190"/>
    <n v="6.8"/>
    <n v="30695"/>
    <s v="Petrol"/>
    <n v="5"/>
    <n v="583"/>
  </r>
  <r>
    <x v="5"/>
    <s v="Colorado WT"/>
    <s v="2.7L Turbo Inline-4 Gasoline"/>
    <n v="2700"/>
    <n v="310"/>
    <n v="190"/>
    <n v="6.9"/>
    <n v="29200"/>
    <s v="Petrol"/>
    <n v="5"/>
    <n v="583"/>
  </r>
  <r>
    <x v="6"/>
    <s v="Canyon"/>
    <s v="2.7L Turbo 4-cylinder"/>
    <n v="2700"/>
    <n v="310"/>
    <n v="190"/>
    <n v="7.6"/>
    <n v="36900"/>
    <s v="Petrol"/>
    <n v="5"/>
    <n v="583"/>
  </r>
  <r>
    <x v="6"/>
    <s v="Sierra Elevation"/>
    <s v="2.7L Turbo 4-cylinder"/>
    <n v="2700"/>
    <n v="310"/>
    <n v="190"/>
    <n v="7.6"/>
    <n v="45000"/>
    <s v="Petrol"/>
    <n v="5"/>
    <n v="583"/>
  </r>
  <r>
    <x v="6"/>
    <s v="Canyon AT4"/>
    <s v="2.7L Turbo 4-cylinder"/>
    <n v="2700"/>
    <n v="310"/>
    <n v="190"/>
    <n v="7.5"/>
    <n v="43900"/>
    <s v="Petrol"/>
    <n v="5"/>
    <n v="583"/>
  </r>
  <r>
    <x v="6"/>
    <s v="Canyon Denali"/>
    <s v="2.7L Turbo 4-cylinder"/>
    <n v="2700"/>
    <n v="310"/>
    <n v="190"/>
    <n v="7.5"/>
    <n v="48000"/>
    <s v="Petrol"/>
    <n v="5"/>
    <n v="583"/>
  </r>
  <r>
    <x v="1"/>
    <s v="Ranger Raptor"/>
    <s v="2.7L Twin-Turbo V6"/>
    <n v="2700"/>
    <n v="392"/>
    <n v="200"/>
    <n v="6"/>
    <n v="45000"/>
    <s v="Petrol"/>
    <n v="5"/>
    <n v="583"/>
  </r>
  <r>
    <x v="1"/>
    <s v="Bronco (2024)"/>
    <s v="V6 EcoBoost"/>
    <n v="2700"/>
    <n v="310"/>
    <n v="200"/>
    <n v="6.7"/>
    <n v="45000"/>
    <s v="Petrol"/>
    <n v="5"/>
    <n v="542"/>
  </r>
  <r>
    <x v="0"/>
    <s v="TACOMA"/>
    <s v="I4"/>
    <n v="2694"/>
    <n v="159"/>
    <n v="180"/>
    <n v="9.5"/>
    <n v="26400"/>
    <s v="Petrol"/>
    <n v="5"/>
    <n v="400"/>
  </r>
  <r>
    <x v="2"/>
    <s v="Terrano II"/>
    <s v="2.7L Inline-4 Diesel"/>
    <n v="2664"/>
    <m/>
    <n v="160"/>
    <n v="12.9"/>
    <n v="28000"/>
    <s v="Diesel"/>
    <n v="5"/>
    <n v="278"/>
  </r>
  <r>
    <x v="12"/>
    <s v="Proceed Marvie"/>
    <s v="2.6L Inline-4"/>
    <n v="2600"/>
    <n v="120"/>
    <n v="160"/>
    <n v="12"/>
    <n v="22500"/>
    <s v="Petrol"/>
    <n v="5"/>
    <n v="200"/>
  </r>
  <r>
    <x v="10"/>
    <s v="Santa Cruz"/>
    <s v="2.5L Turbocharged Inline-4"/>
    <n v="2500"/>
    <n v="281"/>
    <n v="215"/>
    <n v="6.5"/>
    <n v="40799"/>
    <s v="Petrol"/>
    <n v="5"/>
    <n v="400"/>
  </r>
  <r>
    <x v="10"/>
    <s v="Tucson"/>
    <s v="2.5L Inline-4"/>
    <n v="2500"/>
    <n v="187"/>
    <n v="180"/>
    <n v="6.1"/>
    <n v="30500"/>
    <s v="Petrol/Hybrid"/>
    <n v="5"/>
    <n v="400"/>
  </r>
  <r>
    <x v="10"/>
    <s v="Sonata"/>
    <s v="2.5L Inline-4"/>
    <n v="2500"/>
    <n v="191"/>
    <n v="240"/>
    <n v="8"/>
    <n v="25000"/>
    <s v="Petrol/Hybrid"/>
    <n v="5"/>
    <n v="250"/>
  </r>
  <r>
    <x v="5"/>
    <s v="Blazer LT"/>
    <s v="2.5L Inline-4 Gasoline"/>
    <n v="2500"/>
    <n v="193"/>
    <n v="200"/>
    <n v="9"/>
    <n v="36100"/>
    <s v="Petrol"/>
    <n v="5"/>
    <n v="255"/>
  </r>
  <r>
    <x v="7"/>
    <s v="Stinger Scorpion Edition"/>
    <s v="2.5L Turbocharged 4-Cylinder"/>
    <n v="2500"/>
    <n v="300"/>
    <n v="270"/>
    <n v="5"/>
    <n v="55000"/>
    <s v="Petrol"/>
    <n v="5"/>
    <n v="422"/>
  </r>
  <r>
    <x v="7"/>
    <s v="Stinger GT-Line"/>
    <s v="2.5L Turbocharged 4-Cylinder"/>
    <n v="2500"/>
    <n v="300"/>
    <n v="270"/>
    <n v="5"/>
    <n v="50000"/>
    <s v="Petrol"/>
    <n v="5"/>
    <n v="422"/>
  </r>
  <r>
    <x v="1"/>
    <s v="Escape Hybrid"/>
    <s v="2.5L Inline-4 + Electric"/>
    <n v="2500"/>
    <n v="200"/>
    <n v="180"/>
    <n v="7.7"/>
    <n v="33000"/>
    <s v="Hybrid"/>
    <n v="5"/>
    <m/>
  </r>
  <r>
    <x v="12"/>
    <s v="Mazda3 Hatchback"/>
    <s v="2.5L SkyActiv-G"/>
    <n v="2500"/>
    <n v="186"/>
    <n v="210"/>
    <n v="8.3000000000000007"/>
    <n v="26000"/>
    <s v="Petrol"/>
    <n v="5"/>
    <n v="252"/>
  </r>
  <r>
    <x v="12"/>
    <s v="Mazda6"/>
    <s v="2.5L Turbocharged"/>
    <n v="2500"/>
    <n v="250"/>
    <n v="240"/>
    <n v="6.4"/>
    <n v="31000"/>
    <s v="Petrol"/>
    <n v="5"/>
    <n v="420"/>
  </r>
  <r>
    <x v="12"/>
    <s v="CX-30"/>
    <s v="2.5L SkyActiv-G"/>
    <n v="2500"/>
    <n v="186"/>
    <n v="204"/>
    <n v="8.6999999999999993"/>
    <n v="25500"/>
    <s v="Petrol"/>
    <n v="5"/>
    <n v="252"/>
  </r>
  <r>
    <x v="12"/>
    <s v="CX-5"/>
    <s v="2.5L SkyActiv-G"/>
    <n v="2500"/>
    <n v="187"/>
    <n v="200"/>
    <n v="8.8000000000000007"/>
    <n v="29000"/>
    <s v="Petrol"/>
    <n v="5"/>
    <n v="252"/>
  </r>
  <r>
    <x v="12"/>
    <s v="CX-50"/>
    <s v="2.5L Turbocharged"/>
    <n v="2500"/>
    <n v="256"/>
    <n v="220"/>
    <n v="6.9"/>
    <n v="32500"/>
    <s v="Petrol"/>
    <n v="5"/>
    <n v="434"/>
  </r>
  <r>
    <x v="12"/>
    <s v="B-Series Pickup"/>
    <s v="2.5L Diesel"/>
    <n v="2500"/>
    <n v="143"/>
    <n v="170"/>
    <n v="11.5"/>
    <n v="22500"/>
    <s v="Diesel"/>
    <n v="5"/>
    <n v="330"/>
  </r>
  <r>
    <x v="12"/>
    <s v="Atenza"/>
    <s v="2.5L SkyActiv-G"/>
    <n v="2500"/>
    <n v="192"/>
    <n v="210"/>
    <n v="8.5"/>
    <n v="25000"/>
    <s v="Petrol"/>
    <n v="5"/>
    <n v="252"/>
  </r>
  <r>
    <x v="12"/>
    <s v="Cronos"/>
    <s v="2.5L V6"/>
    <n v="2500"/>
    <n v="160"/>
    <n v="190"/>
    <n v="8.5"/>
    <n v="20000"/>
    <s v="Petrol"/>
    <n v="5"/>
    <n v="210"/>
  </r>
  <r>
    <x v="12"/>
    <s v="CX-60"/>
    <s v="2.5L Inline-4"/>
    <n v="2500"/>
    <n v="187"/>
    <n v="200"/>
    <n v="8.5"/>
    <n v="42500"/>
    <s v="Petrol/Diesel"/>
    <n v="5"/>
    <n v="250"/>
  </r>
  <r>
    <x v="12"/>
    <s v="Xedos 6"/>
    <s v="2.5L V6"/>
    <n v="2500"/>
    <n v="170"/>
    <n v="215"/>
    <n v="8.5"/>
    <n v="27500"/>
    <s v="Petrol"/>
    <n v="5"/>
    <n v="230"/>
  </r>
  <r>
    <x v="12"/>
    <s v="Millenia S"/>
    <s v="2.5L V6"/>
    <n v="2500"/>
    <n v="200"/>
    <n v="220"/>
    <n v="8"/>
    <n v="32500"/>
    <s v="Petrol"/>
    <n v="5"/>
    <n v="250"/>
  </r>
  <r>
    <x v="2"/>
    <s v="Gloria"/>
    <s v="2.5L V6"/>
    <n v="2498"/>
    <m/>
    <n v="210"/>
    <n v="8.6"/>
    <n v="30000"/>
    <s v="Petrol"/>
    <n v="5"/>
    <n v="250"/>
  </r>
  <r>
    <x v="2"/>
    <s v="Hardbody SUV"/>
    <s v="2.5L Inline-4"/>
    <n v="2498"/>
    <m/>
    <n v="175"/>
    <n v="11"/>
    <n v="18500"/>
    <s v="Petrol"/>
    <n v="5"/>
    <n v="225"/>
  </r>
  <r>
    <x v="0"/>
    <s v="RAV4"/>
    <s v="I4"/>
    <n v="2494"/>
    <n v="203"/>
    <n v="200"/>
    <n v="8.1"/>
    <n v="27100"/>
    <s v="Petrol/Hybrid"/>
    <n v="5"/>
    <n v="400"/>
  </r>
  <r>
    <x v="0"/>
    <s v="VENZA"/>
    <s v="I4"/>
    <n v="2494"/>
    <n v="219"/>
    <n v="200"/>
    <n v="7.5"/>
    <n v="33400"/>
    <s v="Hybrid"/>
    <n v="5"/>
    <n v="400"/>
  </r>
  <r>
    <x v="0"/>
    <s v="CROWN"/>
    <s v="HYBRID"/>
    <n v="2494"/>
    <n v="236"/>
    <n v="200"/>
    <n v="7.6"/>
    <n v="38400"/>
    <s v="Hybrid"/>
    <n v="5"/>
    <n v="400"/>
  </r>
  <r>
    <x v="2"/>
    <s v="ALTIMA"/>
    <s v="I4"/>
    <n v="2488"/>
    <n v="188"/>
    <n v="225"/>
    <n v="7.3"/>
    <n v="25000"/>
    <s v="Petrol"/>
    <n v="5"/>
    <n v="380"/>
  </r>
  <r>
    <x v="2"/>
    <s v="ROGUE"/>
    <s v="I4"/>
    <n v="2488"/>
    <n v="201"/>
    <n v="200"/>
    <n v="7.5"/>
    <n v="28000"/>
    <s v="Petrol"/>
    <n v="5"/>
    <n v="270"/>
  </r>
  <r>
    <x v="6"/>
    <s v="Canyon Elevation"/>
    <s v="2.5L I4 engine"/>
    <n v="2488"/>
    <n v="200"/>
    <n v="175"/>
    <n v="8.5"/>
    <n v="36300"/>
    <s v="Petrol"/>
    <n v="5"/>
    <n v="259"/>
  </r>
  <r>
    <x v="6"/>
    <s v="Canyon SLT"/>
    <s v="2.5L I4 engine"/>
    <n v="2488"/>
    <n v="200"/>
    <n v="175"/>
    <n v="8.6"/>
    <n v="38000"/>
    <s v="Petrol"/>
    <n v="5"/>
    <n v="259"/>
  </r>
  <r>
    <x v="0"/>
    <s v="Crown Signia"/>
    <s v="2.5L Hybrid I4"/>
    <n v="2487"/>
    <n v="240"/>
    <n v="180"/>
    <n v="7.6"/>
    <m/>
    <s v="Petrol/Hybrid"/>
    <n v="5"/>
    <n v="239"/>
  </r>
  <r>
    <x v="7"/>
    <s v="SPORTAGE LX"/>
    <s v="I4"/>
    <n v="2480"/>
    <n v="187"/>
    <n v="200"/>
    <n v="8"/>
    <n v="27000"/>
    <s v="Petrol"/>
    <n v="5"/>
    <n v="250"/>
  </r>
  <r>
    <x v="7"/>
    <s v="SPORTAGE EX"/>
    <s v="I4"/>
    <n v="2480"/>
    <n v="187"/>
    <n v="200"/>
    <n v="8"/>
    <n v="30000"/>
    <s v="Petrol"/>
    <n v="5"/>
    <n v="250"/>
  </r>
  <r>
    <x v="7"/>
    <s v="SPORTAGE GT-LINE"/>
    <s v="I4"/>
    <n v="2480"/>
    <n v="187"/>
    <n v="200"/>
    <n v="8"/>
    <n v="32000"/>
    <s v="Petrol"/>
    <n v="5"/>
    <n v="350"/>
  </r>
  <r>
    <x v="7"/>
    <s v="SPORTAGE NIGHTFALL EDITION"/>
    <s v="I4"/>
    <n v="2480"/>
    <n v="187"/>
    <n v="200"/>
    <n v="8"/>
    <n v="33000"/>
    <s v="Petrol"/>
    <n v="5"/>
    <n v="350"/>
  </r>
  <r>
    <x v="7"/>
    <s v="SPORTAGE 2024(BASE MODEL)"/>
    <s v="I4"/>
    <n v="2480"/>
    <n v="187"/>
    <n v="200"/>
    <n v="8"/>
    <n v="26000"/>
    <s v="Petrol"/>
    <n v="5"/>
    <n v="250"/>
  </r>
  <r>
    <x v="7"/>
    <s v="SPORTAGE 2024(BASE AWD)"/>
    <s v="I4"/>
    <n v="2480"/>
    <n v="187"/>
    <n v="200"/>
    <n v="8.3000000000000007"/>
    <n v="29000"/>
    <s v="Petrol"/>
    <n v="5"/>
    <n v="250"/>
  </r>
  <r>
    <x v="7"/>
    <s v="SPORTAGE X-LINE"/>
    <s v="I4"/>
    <n v="2480"/>
    <n v="187"/>
    <n v="200"/>
    <n v="8"/>
    <n v="32500"/>
    <s v="Petrol"/>
    <n v="5"/>
    <n v="350"/>
  </r>
  <r>
    <x v="7"/>
    <s v="SPORTAGE 2024(S TRIM)"/>
    <s v="I4"/>
    <n v="2480"/>
    <n v="187"/>
    <n v="200"/>
    <n v="8.1999999999999993"/>
    <n v="28000"/>
    <s v="Petrol"/>
    <n v="5"/>
    <n v="250"/>
  </r>
  <r>
    <x v="7"/>
    <s v="SPORTAGE 2024(X-PRO)"/>
    <s v="I4"/>
    <n v="2480"/>
    <n v="187"/>
    <n v="200"/>
    <n v="8.1"/>
    <n v="36000"/>
    <s v="Petrol"/>
    <n v="5"/>
    <n v="400"/>
  </r>
  <r>
    <x v="7"/>
    <s v="SPORTAGE 2024(X-PRO PRESTIGE)"/>
    <s v="I4"/>
    <n v="2480"/>
    <n v="187"/>
    <n v="200"/>
    <n v="8.1"/>
    <n v="38000"/>
    <s v="Petrol"/>
    <n v="5"/>
    <n v="400"/>
  </r>
  <r>
    <x v="7"/>
    <s v="SPORTAGE 2024(BASE FWD)"/>
    <s v="I4"/>
    <n v="2480"/>
    <n v="187"/>
    <n v="200"/>
    <n v="8.5"/>
    <n v="26500"/>
    <s v="Petrol"/>
    <n v="5"/>
    <n v="250"/>
  </r>
  <r>
    <x v="2"/>
    <s v="Paladin"/>
    <s v="2.4L Inline-4"/>
    <n v="2438"/>
    <m/>
    <n v="180"/>
    <n v="10.6"/>
    <n v="20000"/>
    <s v="Petrol"/>
    <n v="5"/>
    <n v="217"/>
  </r>
  <r>
    <x v="4"/>
    <s v="Cherokee"/>
    <s v="2.4L I4 Tigershark Gasoline"/>
    <n v="2400"/>
    <n v="180"/>
    <n v="195"/>
    <n v="8.5"/>
    <n v="37695"/>
    <s v="Petrol"/>
    <n v="5"/>
    <n v="230"/>
  </r>
  <r>
    <x v="11"/>
    <s v="TLX 2.4L"/>
    <s v="Inline-4"/>
    <n v="2400"/>
    <n v="206"/>
    <n v="210"/>
    <n v="6"/>
    <n v="35000"/>
    <s v="Petrol"/>
    <n v="5"/>
    <n v="247"/>
  </r>
  <r>
    <x v="11"/>
    <s v="ILX Technology Package"/>
    <s v="Inline-4"/>
    <n v="2400"/>
    <n v="201"/>
    <n v="200"/>
    <n v="6.6"/>
    <n v="30000"/>
    <s v="Petrol"/>
    <n v="5"/>
    <n v="180"/>
  </r>
  <r>
    <x v="11"/>
    <s v="ILX Special Edition"/>
    <s v="Inline-4"/>
    <n v="2400"/>
    <n v="201"/>
    <n v="200"/>
    <n v="6.6"/>
    <n v="30000"/>
    <s v="Petrol"/>
    <n v="5"/>
    <n v="180"/>
  </r>
  <r>
    <x v="11"/>
    <s v="ILX Technology Plus"/>
    <s v="Inline-4"/>
    <n v="2400"/>
    <n v="201"/>
    <n v="200"/>
    <n v="6.6"/>
    <n v="28000"/>
    <s v="Petrol"/>
    <n v="5"/>
    <n v="180"/>
  </r>
  <r>
    <x v="13"/>
    <s v="Triton (L200)"/>
    <s v="2.4L Diesel Turbo"/>
    <n v="2400"/>
    <n v="181"/>
    <n v="177"/>
    <n v="10.5"/>
    <n v="30000"/>
    <s v="Diesel"/>
    <n v="5"/>
    <n v="430"/>
  </r>
  <r>
    <x v="13"/>
    <s v="Triton Athlete"/>
    <s v="2.4L Diesel Turbo"/>
    <n v="2400"/>
    <n v="181"/>
    <n v="177"/>
    <n v="10.5"/>
    <n v="31000"/>
    <s v="Diesel"/>
    <n v="5"/>
    <n v="430"/>
  </r>
  <r>
    <x v="13"/>
    <s v="L200 Barbarian X"/>
    <s v="2.4L Diesel Turbo"/>
    <n v="2400"/>
    <n v="181"/>
    <n v="177"/>
    <n v="10.5"/>
    <n v="32500"/>
    <s v="Diesel"/>
    <n v="5"/>
    <n v="430"/>
  </r>
  <r>
    <x v="13"/>
    <s v="Eclipse Cross PHEV"/>
    <s v="2.4L PHEV"/>
    <n v="2400"/>
    <n v="188"/>
    <n v="180"/>
    <n v="10.5"/>
    <n v="37500"/>
    <s v="Plug-in Hybrid"/>
    <n v="5"/>
    <n v="199"/>
  </r>
  <r>
    <x v="13"/>
    <s v="Triton GLX-R"/>
    <s v="2.4L Diesel Turbo"/>
    <n v="2400"/>
    <n v="181"/>
    <n v="177"/>
    <n v="10.5"/>
    <n v="31000"/>
    <s v="Diesel"/>
    <n v="5"/>
    <n v="430"/>
  </r>
  <r>
    <x v="13"/>
    <s v="Airtrek"/>
    <s v="2.4L 4-Cylinder"/>
    <n v="2400"/>
    <n v="160"/>
    <n v="190"/>
    <n v="11"/>
    <n v="22500"/>
    <s v="Petrol"/>
    <n v="5"/>
    <n v="214"/>
  </r>
  <r>
    <x v="2"/>
    <s v="Hardbody Truck"/>
    <s v="2.4L Inline-4"/>
    <n v="2389"/>
    <m/>
    <n v="160"/>
    <n v="10.6"/>
    <n v="25000"/>
    <s v="Petrol"/>
    <n v="5"/>
    <n v="206"/>
  </r>
  <r>
    <x v="1"/>
    <s v="Focus ST"/>
    <s v="2.3L Turbo Inline-4"/>
    <n v="2300"/>
    <n v="280"/>
    <n v="250"/>
    <n v="5.7"/>
    <n v="30000"/>
    <s v="Petrol"/>
    <n v="5"/>
    <n v="420"/>
  </r>
  <r>
    <x v="12"/>
    <s v="CX-7"/>
    <s v="2.3L Turbocharged"/>
    <n v="2300"/>
    <n v="244"/>
    <n v="210"/>
    <n v="7.9"/>
    <n v="30500"/>
    <s v="Petrol"/>
    <n v="5"/>
    <n v="350"/>
  </r>
  <r>
    <x v="12"/>
    <s v="Millenia"/>
    <s v="2.3L Miller Cycle V6"/>
    <n v="2300"/>
    <n v="210"/>
    <n v="215"/>
    <n v="8.1999999999999993"/>
    <n v="27500"/>
    <s v="Petrol"/>
    <n v="5"/>
    <n v="280"/>
  </r>
  <r>
    <x v="2"/>
    <s v="Navara"/>
    <s v="2.3L Inline-4 Diesel"/>
    <n v="2298"/>
    <m/>
    <n v="180"/>
    <n v="10.199999999999999"/>
    <n v="32000"/>
    <s v="Diesel"/>
    <n v="5"/>
    <n v="450"/>
  </r>
  <r>
    <x v="10"/>
    <s v="Elantra"/>
    <s v="2.0L Inline-4"/>
    <n v="2000"/>
    <n v="147"/>
    <n v="210"/>
    <n v="8.3000000000000007"/>
    <n v="19950"/>
    <s v="Petrol/Hybrid"/>
    <n v="5"/>
    <n v="250"/>
  </r>
  <r>
    <x v="10"/>
    <s v="Elantra GT"/>
    <s v="1.6L Turbo GDI 4-cylinder"/>
    <n v="2000"/>
    <n v="160"/>
    <n v="200"/>
    <n v="8.3000000000000007"/>
    <n v="22000"/>
    <s v="Petrol"/>
    <n v="5"/>
    <n v="320"/>
  </r>
  <r>
    <x v="9"/>
    <s v="CT4"/>
    <s v="2.0L Turbo Inline-4 Gasoline"/>
    <n v="2000"/>
    <n v="237"/>
    <n v="250"/>
    <n v="6"/>
    <n v="34395"/>
    <s v="Petrol"/>
    <n v="5"/>
    <n v="350"/>
  </r>
  <r>
    <x v="9"/>
    <s v="CT5"/>
    <s v="2.0L Turbo Inline-4 Gasoline"/>
    <n v="2000"/>
    <n v="237"/>
    <n v="240"/>
    <n v="6.6"/>
    <n v="38195"/>
    <s v="Petrol"/>
    <n v="5"/>
    <n v="350"/>
  </r>
  <r>
    <x v="4"/>
    <s v="Compass"/>
    <s v="2.0L Turbo Gasoline"/>
    <n v="2000"/>
    <n v="200"/>
    <n v="200"/>
    <n v="7.8"/>
    <n v="31590"/>
    <s v="Petrol"/>
    <n v="5"/>
    <n v="320"/>
  </r>
  <r>
    <x v="9"/>
    <s v="XT4"/>
    <s v="2.0L Turbo Inline-4 Gasoline"/>
    <n v="2000"/>
    <n v="235"/>
    <n v="220"/>
    <n v="7.6"/>
    <n v="37490"/>
    <s v="Petrol"/>
    <n v="5"/>
    <n v="350"/>
  </r>
  <r>
    <x v="9"/>
    <s v="XT4 Sport"/>
    <s v="2.0L Turbo Inline-4 Gasoline"/>
    <n v="2000"/>
    <n v="235"/>
    <n v="220"/>
    <n v="7.4"/>
    <n v="41390"/>
    <s v="Petrol"/>
    <n v="5"/>
    <n v="350"/>
  </r>
  <r>
    <x v="9"/>
    <s v="CT5 Premium Luxury"/>
    <s v="2.0L Turbo Inline-4 Gasoline"/>
    <n v="2000"/>
    <n v="237"/>
    <n v="240"/>
    <n v="6.8"/>
    <n v="41290"/>
    <s v="Petrol"/>
    <n v="5"/>
    <n v="350"/>
  </r>
  <r>
    <x v="5"/>
    <s v="Malibu Premier"/>
    <s v="2.0L Turbo Inline-4 Gasoline"/>
    <n v="2000"/>
    <n v="250"/>
    <n v="240"/>
    <n v="5.8"/>
    <n v="33500"/>
    <s v="Petrol"/>
    <n v="5"/>
    <n v="353"/>
  </r>
  <r>
    <x v="1"/>
    <s v="Ranger (2024)"/>
    <s v="I4 Turbo Diesel"/>
    <n v="2000"/>
    <n v="210"/>
    <n v="180"/>
    <n v="8"/>
    <n v="40000"/>
    <s v="Diesel"/>
    <n v="5"/>
    <n v="500"/>
  </r>
  <r>
    <x v="13"/>
    <s v="ASX (Outlander Sport)"/>
    <s v="2.0L MIVEC"/>
    <n v="2000"/>
    <n v="148"/>
    <n v="190"/>
    <n v="10"/>
    <n v="24500"/>
    <s v="Petrol"/>
    <n v="5"/>
    <n v="197"/>
  </r>
  <r>
    <x v="13"/>
    <s v="Lancer Evolution X"/>
    <s v="2.0L Turbocharged"/>
    <n v="2000"/>
    <n v="291"/>
    <n v="240"/>
    <n v="5"/>
    <n v="45000"/>
    <s v="Petrol"/>
    <n v="5"/>
    <n v="407"/>
  </r>
  <r>
    <x v="13"/>
    <s v="ASX Exceed"/>
    <s v="2.0L MIVEC"/>
    <n v="2000"/>
    <n v="148"/>
    <n v="190"/>
    <n v="10"/>
    <n v="27000"/>
    <s v="Petrol"/>
    <n v="5"/>
    <n v="197"/>
  </r>
  <r>
    <x v="13"/>
    <s v="RVR SE"/>
    <s v="2.0L MIVEC"/>
    <n v="2000"/>
    <n v="148"/>
    <n v="190"/>
    <n v="10.5"/>
    <n v="24000"/>
    <s v="Petrol"/>
    <n v="5"/>
    <n v="197"/>
  </r>
  <r>
    <x v="13"/>
    <s v="ASX Dynamic"/>
    <s v="2.0L MIVEC"/>
    <n v="2000"/>
    <n v="148"/>
    <n v="190"/>
    <n v="10"/>
    <n v="26500"/>
    <s v="Petrol"/>
    <n v="5"/>
    <n v="197"/>
  </r>
  <r>
    <x v="13"/>
    <s v="Lancer SE Limited"/>
    <s v="2.0L MIVEC"/>
    <n v="2000"/>
    <n v="148"/>
    <n v="200"/>
    <n v="10"/>
    <n v="22500"/>
    <s v="Petrol"/>
    <n v="5"/>
    <n v="197"/>
  </r>
  <r>
    <x v="13"/>
    <s v="Galant Fortis"/>
    <s v="2.0L MIVEC"/>
    <n v="2000"/>
    <n v="154"/>
    <n v="200"/>
    <n v="10"/>
    <n v="20000"/>
    <s v="Petrol"/>
    <n v="5"/>
    <n v="200"/>
  </r>
  <r>
    <x v="12"/>
    <s v="Mazda3"/>
    <s v="2.0L SkyActiv-G"/>
    <n v="2000"/>
    <n v="155"/>
    <n v="200"/>
    <n v="8.9"/>
    <n v="24000"/>
    <s v="Petrol"/>
    <n v="5"/>
    <n v="213"/>
  </r>
  <r>
    <x v="12"/>
    <s v="CX-3"/>
    <s v="2.0L SkyActiv-G"/>
    <n v="2000"/>
    <n v="146"/>
    <n v="180"/>
    <n v="9.5"/>
    <n v="23000"/>
    <s v="Petrol"/>
    <n v="5"/>
    <n v="197"/>
  </r>
  <r>
    <x v="12"/>
    <s v="CX-4"/>
    <s v="2.0L SkyActiv-G"/>
    <n v="2000"/>
    <n v="158"/>
    <n v="190"/>
    <n v="9.6"/>
    <n v="25000"/>
    <s v="Petrol"/>
    <n v="5"/>
    <n v="202"/>
  </r>
  <r>
    <x v="12"/>
    <s v="626"/>
    <s v="2.0L Inline-4"/>
    <n v="2000"/>
    <n v="140"/>
    <n v="190"/>
    <n v="9.5"/>
    <n v="20000"/>
    <s v="Petrol"/>
    <n v="5"/>
    <n v="180"/>
  </r>
  <r>
    <x v="10"/>
    <s v="ELANTRA"/>
    <s v="2.0L,4-CYLINDER,INLINE-4(I4)"/>
    <n v="1999"/>
    <n v="147"/>
    <n v="200"/>
    <n v="9.5"/>
    <n v="18400"/>
    <s v="Petrol/Hybrid"/>
    <n v="5"/>
    <n v="250"/>
  </r>
  <r>
    <x v="7"/>
    <s v="Forte LXS"/>
    <s v="2.0L 4-Cylinder"/>
    <n v="1999"/>
    <n v="147"/>
    <n v="190"/>
    <n v="9.1999999999999993"/>
    <n v="19000"/>
    <s v="Petrol"/>
    <n v="5"/>
    <n v="179"/>
  </r>
  <r>
    <x v="7"/>
    <s v="Seltos EX"/>
    <s v="2.0L 4-Cylinder"/>
    <n v="1999"/>
    <n v="146"/>
    <n v="190"/>
    <n v="9"/>
    <n v="23500"/>
    <s v="Petrol"/>
    <n v="5"/>
    <n v="179"/>
  </r>
  <r>
    <x v="7"/>
    <s v="Soul EX"/>
    <s v="2.0L 4-Cylinder"/>
    <n v="1999"/>
    <n v="147"/>
    <n v="190"/>
    <n v="9.5"/>
    <n v="22000"/>
    <s v="Petrol"/>
    <n v="5"/>
    <n v="179"/>
  </r>
  <r>
    <x v="7"/>
    <s v="Forte FE"/>
    <s v="2.0L 4-Cylinder"/>
    <n v="1999"/>
    <n v="147"/>
    <n v="190"/>
    <n v="9.1999999999999993"/>
    <n v="18500"/>
    <s v="Petrol"/>
    <n v="5"/>
    <n v="179"/>
  </r>
  <r>
    <x v="7"/>
    <s v="Forte EX Premium"/>
    <s v="2.0L 4-Cylinder"/>
    <n v="1999"/>
    <n v="147"/>
    <n v="190"/>
    <n v="9.1999999999999993"/>
    <n v="22500"/>
    <s v="Petrol"/>
    <n v="5"/>
    <n v="179"/>
  </r>
  <r>
    <x v="7"/>
    <s v="Soul EX Designer Edition"/>
    <s v="2.0L 4-Cylinder"/>
    <n v="1999"/>
    <n v="147"/>
    <n v="190"/>
    <n v="9.5"/>
    <n v="23500"/>
    <s v="Petrol"/>
    <n v="5"/>
    <n v="179"/>
  </r>
  <r>
    <x v="7"/>
    <s v="Soul S"/>
    <s v="2.0L 4-Cylinder"/>
    <n v="1999"/>
    <n v="147"/>
    <n v="190"/>
    <n v="9.5"/>
    <n v="20500"/>
    <s v="Petrol"/>
    <n v="5"/>
    <n v="179"/>
  </r>
  <r>
    <x v="7"/>
    <s v="Seltos LX"/>
    <s v="2.0L 4-Cylinder"/>
    <n v="1999"/>
    <n v="146"/>
    <n v="190"/>
    <n v="9.1999999999999993"/>
    <n v="23000"/>
    <s v="Petrol"/>
    <n v="5"/>
    <n v="179"/>
  </r>
  <r>
    <x v="7"/>
    <s v="Soul GT Designer Edition"/>
    <s v="2.0L 4-Cylinder"/>
    <n v="1999"/>
    <n v="147"/>
    <n v="190"/>
    <n v="9.5"/>
    <n v="23000"/>
    <s v="Petrol"/>
    <n v="5"/>
    <n v="179"/>
  </r>
  <r>
    <x v="7"/>
    <s v="Forte Limited Edition"/>
    <s v="2.0L 4-Cylinder"/>
    <n v="1999"/>
    <n v="147"/>
    <n v="190"/>
    <n v="9.1999999999999993"/>
    <n v="22500"/>
    <s v="Petrol"/>
    <n v="5"/>
    <n v="179"/>
  </r>
  <r>
    <x v="2"/>
    <s v="SENTRA"/>
    <s v="I4"/>
    <n v="1998"/>
    <n v="149"/>
    <n v="200"/>
    <n v="8.1999999999999993"/>
    <n v="20000"/>
    <s v="Petrol"/>
    <n v="5"/>
    <n v="240"/>
  </r>
  <r>
    <x v="22"/>
    <s v="330i"/>
    <s v="I4"/>
    <n v="1998"/>
    <n v="255"/>
    <n v="250"/>
    <n v="5.6"/>
    <n v="45000"/>
    <s v="Petrol"/>
    <n v="5"/>
    <n v="400"/>
  </r>
  <r>
    <x v="22"/>
    <s v="530i"/>
    <s v="I4"/>
    <n v="1998"/>
    <n v="248"/>
    <n v="250"/>
    <n v="5.9"/>
    <n v="57000"/>
    <s v="Petrol"/>
    <n v="5"/>
    <n v="400"/>
  </r>
  <r>
    <x v="22"/>
    <s v="128ti"/>
    <s v="I4"/>
    <n v="1998"/>
    <n v="261"/>
    <n v="250"/>
    <n v="6.1"/>
    <n v="42000"/>
    <s v="Petrol"/>
    <n v="5"/>
    <n v="400"/>
  </r>
  <r>
    <x v="22"/>
    <s v="M135i XDRIVE"/>
    <s v="I4"/>
    <n v="1998"/>
    <n v="302"/>
    <n v="250"/>
    <n v="4.8"/>
    <n v="30000"/>
    <s v="Petrol"/>
    <n v="5"/>
    <n v="450"/>
  </r>
  <r>
    <x v="22"/>
    <s v="120i"/>
    <s v="I4"/>
    <n v="1998"/>
    <n v="178"/>
    <n v="230"/>
    <n v="7.1"/>
    <n v="37000"/>
    <s v="Petrol"/>
    <n v="5"/>
    <n v="300"/>
  </r>
  <r>
    <x v="22"/>
    <s v="125i"/>
    <s v="I4"/>
    <n v="1998"/>
    <n v="224"/>
    <n v="240"/>
    <n v="6.1"/>
    <n v="42000"/>
    <s v="Petrol"/>
    <n v="5"/>
    <n v="400"/>
  </r>
  <r>
    <x v="22"/>
    <s v="120i M SPORT"/>
    <s v="I4"/>
    <n v="1998"/>
    <n v="178"/>
    <n v="230"/>
    <n v="7.1"/>
    <n v="39000"/>
    <s v="Petrol"/>
    <n v="5"/>
    <n v="300"/>
  </r>
  <r>
    <x v="22"/>
    <s v="120i XDRIVE"/>
    <s v="I4"/>
    <n v="1998"/>
    <n v="178"/>
    <n v="230"/>
    <n v="7.2"/>
    <n v="40000"/>
    <s v="Petrol"/>
    <n v="5"/>
    <n v="300"/>
  </r>
  <r>
    <x v="7"/>
    <s v="SPORTAGE SX TURBO"/>
    <s v="I4"/>
    <n v="1998"/>
    <n v="240"/>
    <n v="210"/>
    <n v="6.7"/>
    <n v="36000"/>
    <s v="Petrol"/>
    <n v="5"/>
    <n v="400"/>
  </r>
  <r>
    <x v="7"/>
    <s v="SPORTAGE 2024(TOP TRIM)"/>
    <s v="I4"/>
    <n v="1998"/>
    <n v="240"/>
    <n v="210"/>
    <n v="6.7"/>
    <n v="38000"/>
    <s v="Petrol"/>
    <n v="5"/>
    <n v="400"/>
  </r>
  <r>
    <x v="7"/>
    <s v="SPORTAGE 2024(SX TURBO AWD)"/>
    <s v="I4"/>
    <n v="1998"/>
    <n v="240"/>
    <n v="210"/>
    <n v="6.5"/>
    <n v="40000"/>
    <s v="Petrol"/>
    <n v="5"/>
    <n v="400"/>
  </r>
  <r>
    <x v="0"/>
    <s v="PRIUS PRIME"/>
    <s v="2.0L,4-CYLINDER,WITH HYBRID SYSTEM"/>
    <n v="1998"/>
    <n v="220"/>
    <n v="180"/>
    <n v="6.7"/>
    <n v="31100"/>
    <s v="Plug-in Hybrid"/>
    <n v="5"/>
    <n v="220"/>
  </r>
  <r>
    <x v="2"/>
    <s v="Primera"/>
    <s v="2.0L Inline-4"/>
    <n v="1998"/>
    <m/>
    <n v="200"/>
    <n v="9.6"/>
    <n v="20000"/>
    <s v="Petrol"/>
    <n v="5"/>
    <n v="190"/>
  </r>
  <r>
    <x v="2"/>
    <s v="Cedric"/>
    <s v="2.0L Inline-6"/>
    <n v="1998"/>
    <m/>
    <n v="190"/>
    <n v="10.5"/>
    <n v="22000"/>
    <s v="Petrol"/>
    <n v="5"/>
    <n v="190"/>
  </r>
  <r>
    <x v="2"/>
    <s v="Avenir"/>
    <s v="2.0L Inline-4"/>
    <n v="1998"/>
    <m/>
    <n v="180"/>
    <n v="9.8000000000000007"/>
    <n v="20000"/>
    <s v="Petrol"/>
    <n v="5"/>
    <n v="186"/>
  </r>
  <r>
    <x v="2"/>
    <s v="Bluebird Z"/>
    <s v="2.0L Inline-4"/>
    <n v="1998"/>
    <m/>
    <n v="190"/>
    <n v="11"/>
    <n v="23000"/>
    <s v="Petrol"/>
    <n v="5"/>
    <n v="180"/>
  </r>
  <r>
    <x v="2"/>
    <s v="Rogue Sport SL"/>
    <s v="2.0L Inline-4"/>
    <n v="1998"/>
    <m/>
    <n v="190"/>
    <n v="9"/>
    <n v="32000"/>
    <s v="Petrol"/>
    <n v="5"/>
    <n v="195"/>
  </r>
  <r>
    <x v="2"/>
    <s v="Prairie"/>
    <s v="2.0L Inline-4"/>
    <n v="1998"/>
    <m/>
    <n v="175"/>
    <n v="11"/>
    <n v="18000"/>
    <s v="Petrol"/>
    <n v="5"/>
    <n v="170"/>
  </r>
  <r>
    <x v="2"/>
    <s v="Pulsar GTI-R"/>
    <s v="2.0L Turbo Inline-4"/>
    <n v="1998"/>
    <m/>
    <n v="225"/>
    <n v="6"/>
    <n v="30000"/>
    <s v="Petrol"/>
    <n v="5"/>
    <n v="280"/>
  </r>
  <r>
    <x v="2"/>
    <s v="X-Trail GT"/>
    <s v="2.0L Turbo Inline-4"/>
    <n v="1998"/>
    <m/>
    <n v="215"/>
    <n v="6.4"/>
    <n v="38000"/>
    <s v="Petrol"/>
    <n v="5"/>
    <n v="310"/>
  </r>
  <r>
    <x v="17"/>
    <s v="508"/>
    <s v="Inline-4"/>
    <n v="1998"/>
    <n v="180"/>
    <n v="235"/>
    <n v="8"/>
    <n v="35500"/>
    <s v="Petrol"/>
    <n v="5"/>
    <n v="300"/>
  </r>
  <r>
    <x v="12"/>
    <s v="Eunos 500"/>
    <s v="2.0L Inline-4"/>
    <n v="1998"/>
    <n v="135"/>
    <n v="200"/>
    <n v="9"/>
    <n v="26500"/>
    <s v="Petrol"/>
    <n v="5"/>
    <n v="170"/>
  </r>
  <r>
    <x v="2"/>
    <s v="Bluebird Sylphy"/>
    <s v="2.0L Inline-4"/>
    <n v="1997"/>
    <m/>
    <n v="185"/>
    <n v="10.5"/>
    <n v="18500"/>
    <s v="Petrol"/>
    <n v="5"/>
    <n v="191"/>
  </r>
  <r>
    <x v="2"/>
    <s v="Rogue Sport"/>
    <s v="2.0L Inline-4"/>
    <n v="1997"/>
    <m/>
    <n v="190"/>
    <n v="9.8000000000000007"/>
    <n v="24960"/>
    <s v="Petrol"/>
    <n v="5"/>
    <n v="199"/>
  </r>
  <r>
    <x v="2"/>
    <s v="X-Trail Hybrid"/>
    <s v="2.0L Inline-4 Hybrid"/>
    <n v="1997"/>
    <m/>
    <n v="180"/>
    <n v="9.4"/>
    <n v="28500"/>
    <s v="Hybrid"/>
    <n v="5"/>
    <n v="207"/>
  </r>
  <r>
    <x v="2"/>
    <s v="Infiniti QX55*"/>
    <s v="2.0L VC-Turbo Inline-4"/>
    <n v="1997"/>
    <m/>
    <n v="230"/>
    <n v="6.5"/>
    <n v="50000"/>
    <s v="Petrol"/>
    <n v="5"/>
    <n v="380"/>
  </r>
  <r>
    <x v="8"/>
    <s v="CIVIC TYPE R"/>
    <s v="I4"/>
    <n v="1996"/>
    <n v="315"/>
    <n v="272"/>
    <n v="5.7"/>
    <n v="44000"/>
    <s v="Petrol"/>
    <n v="5"/>
    <n v="400"/>
  </r>
  <r>
    <x v="8"/>
    <s v="CIVIC"/>
    <s v="I4"/>
    <n v="1996"/>
    <n v="158"/>
    <n v="200"/>
    <n v="8.5"/>
    <n v="20400"/>
    <s v="Petrol"/>
    <n v="5"/>
    <n v="400"/>
  </r>
  <r>
    <x v="22"/>
    <s v="120D XDRIVE"/>
    <s v="I4"/>
    <n v="1995"/>
    <n v="190"/>
    <n v="230"/>
    <n v="6.9"/>
    <n v="38000"/>
    <s v="Diesel"/>
    <n v="5"/>
    <n v="400"/>
  </r>
  <r>
    <x v="22"/>
    <s v="118D"/>
    <s v="I4"/>
    <n v="1995"/>
    <n v="150"/>
    <n v="216"/>
    <n v="8.4"/>
    <n v="34000"/>
    <s v="Diesel"/>
    <n v="5"/>
    <n v="380"/>
  </r>
  <r>
    <x v="22"/>
    <s v="125D"/>
    <s v="I4"/>
    <n v="1995"/>
    <n v="224"/>
    <n v="240"/>
    <n v="6.3"/>
    <n v="44000"/>
    <s v="Diesel"/>
    <n v="5"/>
    <n v="400"/>
  </r>
  <r>
    <x v="22"/>
    <s v="120D EFFICIENTDYNAMICS"/>
    <s v="I4"/>
    <n v="1995"/>
    <n v="163"/>
    <n v="225"/>
    <n v="7.7"/>
    <n v="39000"/>
    <s v="Diesel"/>
    <n v="5"/>
    <n v="400"/>
  </r>
  <r>
    <x v="22"/>
    <s v="118D SPORT LINE"/>
    <s v="I4"/>
    <n v="1995"/>
    <n v="150"/>
    <n v="216"/>
    <n v="8.4"/>
    <n v="36000"/>
    <s v="Diesel"/>
    <n v="5"/>
    <n v="380"/>
  </r>
  <r>
    <x v="21"/>
    <s v="BENZ CLA 45 AMG"/>
    <s v="I4"/>
    <n v="1991"/>
    <n v="382"/>
    <n v="250"/>
    <n v="4.0999999999999996"/>
    <n v="53000"/>
    <s v="Petrol"/>
    <n v="5"/>
    <n v="500"/>
  </r>
  <r>
    <x v="21"/>
    <s v="BENZ A-CLASS A 45 S"/>
    <s v="I4"/>
    <n v="1991"/>
    <n v="416"/>
    <n v="250"/>
    <n v="3.9"/>
    <n v="53000"/>
    <s v="Petrol"/>
    <n v="5"/>
    <n v="500"/>
  </r>
  <r>
    <x v="21"/>
    <s v="BENZ E-CLASS E 350"/>
    <s v="I4"/>
    <n v="1991"/>
    <n v="255"/>
    <n v="250"/>
    <n v="5.7"/>
    <n v="49000"/>
    <s v="Petrol"/>
    <n v="5"/>
    <n v="500"/>
  </r>
  <r>
    <x v="21"/>
    <s v="BENZ GLE 350 "/>
    <s v="I4"/>
    <n v="1991"/>
    <n v="255"/>
    <n v="250"/>
    <n v="6.1"/>
    <n v="53000"/>
    <s v="Petrol"/>
    <n v="5"/>
    <n v="500"/>
  </r>
  <r>
    <x v="21"/>
    <s v="BENZ GLA 45"/>
    <s v="I4"/>
    <n v="1991"/>
    <n v="382"/>
    <n v="250"/>
    <n v="4.3"/>
    <n v="48000"/>
    <s v="Petrol"/>
    <n v="5"/>
    <n v="500"/>
  </r>
  <r>
    <x v="21"/>
    <s v="BENZ GLC 350 "/>
    <s v="I4"/>
    <n v="1991"/>
    <n v="255"/>
    <n v="250"/>
    <n v="6.1"/>
    <n v="46000"/>
    <s v="Petrol"/>
    <n v="5"/>
    <n v="500"/>
  </r>
  <r>
    <x v="21"/>
    <s v="BENZ S-CLASS S 350"/>
    <s v="I4"/>
    <n v="1991"/>
    <n v="255"/>
    <n v="250"/>
    <n v="6.5"/>
    <n v="90000"/>
    <s v="Petrol"/>
    <n v="5"/>
    <n v="500"/>
  </r>
  <r>
    <x v="0"/>
    <s v="COROLLA HATCHBACK XSE"/>
    <s v="2.0L,INLINE-4"/>
    <n v="1987"/>
    <n v="169"/>
    <n v="190"/>
    <n v="8.1999999999999993"/>
    <n v="25390"/>
    <s v="Petrol"/>
    <n v="5"/>
    <n v="250"/>
  </r>
  <r>
    <x v="0"/>
    <s v="C-HR"/>
    <s v="I4"/>
    <n v="1986"/>
    <n v="144"/>
    <n v="200"/>
    <n v="10.199999999999999"/>
    <n v="24400"/>
    <s v="Petrol/Hybrid"/>
    <n v="5"/>
    <n v="250"/>
  </r>
  <r>
    <x v="0"/>
    <s v="CELICA"/>
    <s v="I4"/>
    <n v="1986"/>
    <n v="140"/>
    <n v="200"/>
    <n v="8.5"/>
    <n v="25000"/>
    <s v="Petrol"/>
    <n v="5"/>
    <n v="250"/>
  </r>
  <r>
    <x v="14"/>
    <s v="S3 SEDAN"/>
    <s v="I4"/>
    <n v="1984"/>
    <n v="306"/>
    <n v="250"/>
    <n v="4.8"/>
    <n v="52000"/>
    <s v="Petrol"/>
    <n v="5"/>
    <n v="400"/>
  </r>
  <r>
    <x v="14"/>
    <s v="Q5"/>
    <s v="I4"/>
    <n v="1984"/>
    <n v="248"/>
    <n v="240"/>
    <n v="6.3"/>
    <n v="43000"/>
    <s v="Petrol"/>
    <n v="5"/>
    <n v="500"/>
  </r>
  <r>
    <x v="14"/>
    <s v="A4"/>
    <s v="I4"/>
    <n v="1984"/>
    <n v="248"/>
    <n v="240"/>
    <n v="6.5"/>
    <n v="39000"/>
    <s v="Petrol"/>
    <n v="5"/>
    <n v="400"/>
  </r>
  <r>
    <x v="14"/>
    <s v="Q3"/>
    <s v="I4"/>
    <n v="1984"/>
    <n v="248"/>
    <n v="230"/>
    <n v="7.3"/>
    <n v="35000"/>
    <s v="Petrol"/>
    <n v="5"/>
    <n v="400"/>
  </r>
  <r>
    <x v="3"/>
    <s v="Passat"/>
    <s v="2.0L Turbo I4"/>
    <n v="1984"/>
    <n v="215"/>
    <n v="210"/>
    <n v="7.8"/>
    <n v="25000"/>
    <s v="Petrol"/>
    <n v="5"/>
    <n v="250"/>
  </r>
  <r>
    <x v="3"/>
    <s v="Arteon"/>
    <s v="2.0L Turbo I4"/>
    <n v="1984"/>
    <n v="215"/>
    <n v="250"/>
    <n v="5.6"/>
    <n v="46000"/>
    <s v="Petrol"/>
    <n v="5"/>
    <n v="350"/>
  </r>
  <r>
    <x v="3"/>
    <s v="T-Roc"/>
    <s v="2.0L Turbo I4"/>
    <n v="1984"/>
    <n v="208"/>
    <n v="205"/>
    <n v="7.2"/>
    <n v="30000"/>
    <s v="Petrol"/>
    <n v="5"/>
    <n v="320"/>
  </r>
  <r>
    <x v="3"/>
    <s v="Golf GTI"/>
    <s v="2.0L Turbo I4"/>
    <n v="1984"/>
    <n v="245"/>
    <n v="250"/>
    <n v="5.9"/>
    <n v="31965"/>
    <s v="Petrol"/>
    <n v="5"/>
    <n v="350"/>
  </r>
  <r>
    <x v="3"/>
    <s v="Golf R"/>
    <s v="2.0L Turbo I4"/>
    <n v="1984"/>
    <n v="315"/>
    <n v="250"/>
    <n v="4.5999999999999996"/>
    <n v="44640"/>
    <s v="Petrol"/>
    <n v="5"/>
    <n v="420"/>
  </r>
  <r>
    <x v="3"/>
    <s v="Polo GTI"/>
    <s v="2.0L Turbo I4"/>
    <n v="1984"/>
    <n v="204"/>
    <n v="238"/>
    <n v="6.7"/>
    <n v="28000"/>
    <s v="Petrol"/>
    <n v="5"/>
    <n v="320"/>
  </r>
  <r>
    <x v="3"/>
    <s v="Arteon 4MOTION"/>
    <s v="2.0L Turbo I4"/>
    <n v="1984"/>
    <n v="255"/>
    <n v="250"/>
    <n v="5.6"/>
    <n v="48000"/>
    <s v="Petrol"/>
    <n v="5"/>
    <n v="350"/>
  </r>
  <r>
    <x v="3"/>
    <s v="Passat CC"/>
    <s v="2.0L I4 Turbo"/>
    <n v="1984"/>
    <n v="240"/>
    <n v="240"/>
    <n v="7.3"/>
    <n v="40000"/>
    <s v="Petrol"/>
    <n v="5"/>
    <n v="280"/>
  </r>
  <r>
    <x v="3"/>
    <s v="Jetta GLI"/>
    <s v="2.0L I4 Turbo"/>
    <n v="1984"/>
    <n v="228"/>
    <n v="250"/>
    <n v="6.5"/>
    <n v="31000"/>
    <s v="Petrol"/>
    <n v="5"/>
    <n v="350"/>
  </r>
  <r>
    <x v="3"/>
    <s v="Arteon Shooting Brake"/>
    <s v="2.0L I4 Turbo"/>
    <n v="1984"/>
    <n v="235"/>
    <n v="250"/>
    <n v="5.6"/>
    <n v="50000"/>
    <s v="Petrol"/>
    <n v="5"/>
    <n v="420"/>
  </r>
  <r>
    <x v="3"/>
    <s v="Polo GTI Clubsport"/>
    <s v="2.0L I4 Turbo"/>
    <n v="1984"/>
    <n v="300"/>
    <n v="240"/>
    <n v="6.7"/>
    <n v="30000"/>
    <s v="Petrol"/>
    <n v="5"/>
    <n v="320"/>
  </r>
  <r>
    <x v="3"/>
    <s v="Arteon R-Line"/>
    <s v="2.0L I4 Turbo"/>
    <n v="1984"/>
    <n v="235"/>
    <n v="250"/>
    <n v="5.6"/>
    <n v="50000"/>
    <s v="Petrol"/>
    <n v="5"/>
    <n v="420"/>
  </r>
  <r>
    <x v="3"/>
    <s v="Golf TCR"/>
    <s v="2.0L I4 Turbo"/>
    <n v="1984"/>
    <n v="290"/>
    <n v="250"/>
    <n v="5.6"/>
    <n v="40000"/>
    <s v="Petrol"/>
    <n v="5"/>
    <n v="370"/>
  </r>
  <r>
    <x v="3"/>
    <s v="Tiguan R-Line"/>
    <s v="2.0L I4 Turbo"/>
    <n v="1984"/>
    <n v="210"/>
    <n v="250"/>
    <n v="4.9000000000000004"/>
    <n v="45000"/>
    <s v="Petrol"/>
    <n v="5"/>
    <n v="420"/>
  </r>
  <r>
    <x v="3"/>
    <s v="Arteon 280 TSI"/>
    <s v="2.0L I4 Turbo"/>
    <n v="1984"/>
    <n v="280"/>
    <n v="250"/>
    <n v="5.6"/>
    <n v="50000"/>
    <s v="Petrol"/>
    <n v="5"/>
    <n v="350"/>
  </r>
  <r>
    <x v="3"/>
    <s v="Jetta GLI 35th"/>
    <s v="2.0L I4 Turbo"/>
    <n v="1984"/>
    <n v="228"/>
    <n v="250"/>
    <n v="6.5"/>
    <n v="31000"/>
    <s v="Petrol"/>
    <n v="5"/>
    <n v="350"/>
  </r>
  <r>
    <x v="3"/>
    <s v="Polo GTI Plus"/>
    <s v="2.0L I4 Turbo"/>
    <n v="1984"/>
    <n v="207"/>
    <n v="237"/>
    <n v="6.7"/>
    <n v="30000"/>
    <s v="Petrol"/>
    <n v="5"/>
    <n v="320"/>
  </r>
  <r>
    <x v="25"/>
    <s v="Macan"/>
    <s v="2.0L I4 Turbo"/>
    <n v="1984"/>
    <m/>
    <n v="232"/>
    <n v="6.2"/>
    <n v="60000"/>
    <s v="Petrol"/>
    <n v="5"/>
    <n v="400"/>
  </r>
  <r>
    <x v="25"/>
    <s v="Macan T"/>
    <s v="2.0L I4 Turbo"/>
    <n v="1984"/>
    <m/>
    <n v="232"/>
    <n v="6.2"/>
    <n v="65000"/>
    <s v="Petrol"/>
    <n v="5"/>
    <n v="400"/>
  </r>
  <r>
    <x v="25"/>
    <s v="Macan Base"/>
    <s v="2.0L Turbo Inline-4"/>
    <n v="1984"/>
    <n v="265"/>
    <n v="232"/>
    <n v="6.4"/>
    <n v="58000"/>
    <s v="Petrol"/>
    <n v="5"/>
    <n v="400"/>
  </r>
  <r>
    <x v="18"/>
    <s v="XC60"/>
    <s v="I6"/>
    <n v="1969"/>
    <n v="247"/>
    <n v="220"/>
    <n v="6.4"/>
    <n v="55000"/>
    <s v="Petrol/Diesel"/>
    <n v="5"/>
    <n v="400"/>
  </r>
  <r>
    <x v="18"/>
    <s v="S90"/>
    <s v="I6"/>
    <n v="1969"/>
    <n v="295"/>
    <n v="250"/>
    <n v="5.9"/>
    <n v="60000"/>
    <s v="Petrol/Diesel"/>
    <n v="5"/>
    <n v="400"/>
  </r>
  <r>
    <x v="3"/>
    <s v="Passat Alltrack"/>
    <s v="2.0L Turbo Diesel I4"/>
    <n v="1968"/>
    <n v="215"/>
    <n v="220"/>
    <n v="7.8"/>
    <n v="36000"/>
    <s v="Diesel"/>
    <n v="5"/>
    <n v="400"/>
  </r>
  <r>
    <x v="3"/>
    <s v="Golf Alltrack"/>
    <s v="2.0L Turbo Diesel I4"/>
    <n v="1968"/>
    <n v="174"/>
    <n v="210"/>
    <n v="7.1"/>
    <n v="35000"/>
    <s v="Petrol"/>
    <n v="5"/>
    <n v="350"/>
  </r>
  <r>
    <x v="3"/>
    <s v="Golf Variant GTD"/>
    <s v="2.0L Diesel I4"/>
    <n v="1968"/>
    <n v="184"/>
    <n v="230"/>
    <n v="7.5"/>
    <n v="38000"/>
    <s v="Diesel"/>
    <n v="5"/>
    <n v="380"/>
  </r>
  <r>
    <x v="3"/>
    <s v="Golf Variant Alltrack"/>
    <s v="2.0L Diesel I4"/>
    <n v="1968"/>
    <n v="175"/>
    <n v="220"/>
    <n v="7.8"/>
    <n v="35000"/>
    <s v="Petrol"/>
    <n v="5"/>
    <n v="320"/>
  </r>
  <r>
    <x v="3"/>
    <s v="Golf TDI"/>
    <s v="2.0L Diesel I4"/>
    <n v="1968"/>
    <n v="167"/>
    <n v="220"/>
    <n v="8"/>
    <n v="28000"/>
    <s v="Diesel"/>
    <n v="5"/>
    <n v="350"/>
  </r>
  <r>
    <x v="3"/>
    <s v="Golf Variant TDI"/>
    <s v="2.0L Diesel I4"/>
    <n v="1968"/>
    <n v="167"/>
    <n v="220"/>
    <n v="7.8"/>
    <n v="30000"/>
    <s v="Diesel"/>
    <n v="5"/>
    <n v="350"/>
  </r>
  <r>
    <x v="3"/>
    <s v="Golf 4MOTION"/>
    <s v="2.0L Diesel I4"/>
    <n v="1968"/>
    <n v="167"/>
    <n v="250"/>
    <n v="4.9000000000000004"/>
    <n v="40000"/>
    <s v="Petrol"/>
    <n v="5"/>
    <n v="400"/>
  </r>
  <r>
    <x v="3"/>
    <s v="Passat Alltrack TDI"/>
    <s v="2.0L Diesel I4"/>
    <n v="1968"/>
    <n v="190"/>
    <n v="220"/>
    <n v="8"/>
    <n v="40000"/>
    <s v="Diesel"/>
    <n v="5"/>
    <n v="400"/>
  </r>
  <r>
    <x v="15"/>
    <s v="Harrier"/>
    <s v="2.0L Kryotec Turbocharged Diesel"/>
    <n v="1956"/>
    <n v="168"/>
    <n v="180"/>
    <n v="11"/>
    <n v="23000"/>
    <s v="Diesel"/>
    <n v="5"/>
    <n v="350"/>
  </r>
  <r>
    <x v="2"/>
    <s v="Presea"/>
    <s v="1.8L Inline-4"/>
    <n v="1838"/>
    <m/>
    <n v="170"/>
    <n v="11.5"/>
    <n v="17500"/>
    <s v="Petrol"/>
    <n v="5"/>
    <n v="161"/>
  </r>
  <r>
    <x v="13"/>
    <s v="Space Runner"/>
    <s v="1.8L MIVEC"/>
    <n v="1800"/>
    <n v="140"/>
    <n v="185"/>
    <n v="10.5"/>
    <n v="21500"/>
    <s v="Petrol"/>
    <n v="5"/>
    <n v="170"/>
  </r>
  <r>
    <x v="13"/>
    <s v="Grand Lancer"/>
    <s v="1.8L MIVEC"/>
    <n v="1800"/>
    <n v="138"/>
    <n v="190"/>
    <n v="11.5"/>
    <n v="22500"/>
    <s v="Petrol"/>
    <n v="5"/>
    <n v="173"/>
  </r>
  <r>
    <x v="12"/>
    <s v="Luce"/>
    <s v="1.8L Rotary"/>
    <n v="1800"/>
    <n v="135"/>
    <n v="180"/>
    <n v="10.5"/>
    <n v="17500"/>
    <s v="Petrol"/>
    <n v="5"/>
    <n v="170"/>
  </r>
  <r>
    <x v="12"/>
    <s v="Parkway"/>
    <s v="1.8L Inline-4"/>
    <n v="1800"/>
    <n v="115"/>
    <n v="160"/>
    <n v="12.5"/>
    <n v="22500"/>
    <s v="Petrol"/>
    <n v="5"/>
    <n v="155"/>
  </r>
  <r>
    <x v="12"/>
    <s v="Protegé"/>
    <s v="1.8L Inline-4"/>
    <n v="1800"/>
    <n v="125"/>
    <n v="185"/>
    <n v="9"/>
    <n v="16500"/>
    <s v="Petrol"/>
    <n v="5"/>
    <n v="170"/>
  </r>
  <r>
    <x v="12"/>
    <s v="Familia Astina"/>
    <s v="1.8L Inline-4"/>
    <n v="1800"/>
    <n v="135"/>
    <n v="200"/>
    <n v="8.5"/>
    <n v="21000"/>
    <s v="Petrol"/>
    <n v="5"/>
    <n v="170"/>
  </r>
  <r>
    <x v="12"/>
    <s v="Astina"/>
    <s v="1.8L Inline-4"/>
    <n v="1800"/>
    <n v="140"/>
    <n v="190"/>
    <n v="8.5"/>
    <n v="22000"/>
    <s v="Petrol"/>
    <n v="5"/>
    <n v="160"/>
  </r>
  <r>
    <x v="0"/>
    <s v="COROLLA"/>
    <s v="I4"/>
    <n v="1798"/>
    <n v="139"/>
    <n v="180"/>
    <n v="9.4"/>
    <n v="22500"/>
    <s v="Petrol/Hybrid"/>
    <n v="5"/>
    <n v="200"/>
  </r>
  <r>
    <x v="0"/>
    <s v="PRIUS"/>
    <s v="I4"/>
    <n v="1798"/>
    <n v="121"/>
    <n v="180"/>
    <n v="10.5"/>
    <n v="26700"/>
    <s v="Hybrid"/>
    <n v="5"/>
    <n v="142"/>
  </r>
  <r>
    <x v="0"/>
    <s v="MIRAI"/>
    <s v="I4"/>
    <n v="1798"/>
    <n v="151"/>
    <n v="180"/>
    <n v="9.1999999999999993"/>
    <n v="52400"/>
    <s v="Hydrogen"/>
    <n v="5"/>
    <n v="335"/>
  </r>
  <r>
    <x v="0"/>
    <s v="COROLLA SEDAN HYBRID"/>
    <s v="1.8L,HYBRID"/>
    <n v="1798"/>
    <n v="134"/>
    <n v="180"/>
    <n v="10"/>
    <n v="24000"/>
    <s v="Hybrid"/>
    <n v="5"/>
    <n v="300"/>
  </r>
  <r>
    <x v="2"/>
    <s v="Sylphy"/>
    <s v="1.8L Inline-4"/>
    <n v="1798"/>
    <m/>
    <n v="190"/>
    <n v="9.6"/>
    <n v="18000"/>
    <s v="Petrol"/>
    <n v="5"/>
    <n v="174"/>
  </r>
  <r>
    <x v="2"/>
    <s v="Cube"/>
    <s v="1.8L Inline-4"/>
    <n v="1798"/>
    <m/>
    <n v="175"/>
    <n v="10.6"/>
    <n v="14500"/>
    <s v="Petrol"/>
    <n v="5"/>
    <n v="171"/>
  </r>
  <r>
    <x v="2"/>
    <s v="Wingroad"/>
    <s v="1.8L Inline-4"/>
    <n v="1798"/>
    <m/>
    <n v="175"/>
    <n v="10.8"/>
    <n v="18000"/>
    <s v="Petrol"/>
    <n v="5"/>
    <n v="168"/>
  </r>
  <r>
    <x v="2"/>
    <s v="Stanza"/>
    <s v="1.8L Inline-4"/>
    <n v="1796"/>
    <m/>
    <n v="175"/>
    <n v="11"/>
    <n v="18500"/>
    <s v="Petrol"/>
    <n v="5"/>
    <n v="170"/>
  </r>
  <r>
    <x v="3"/>
    <s v="Golf Country"/>
    <s v="1.8L I4 Gas"/>
    <n v="1781"/>
    <n v="98"/>
    <n v="165"/>
    <n v="12"/>
    <n v="25000"/>
    <s v="Petrol"/>
    <n v="5"/>
    <n v="170"/>
  </r>
  <r>
    <x v="2"/>
    <s v="Violet"/>
    <s v="1.8L Inline-4"/>
    <n v="1770"/>
    <m/>
    <n v="155"/>
    <n v="13.8"/>
    <n v="18000"/>
    <s v="Petrol"/>
    <n v="5"/>
    <n v="130"/>
  </r>
  <r>
    <x v="2"/>
    <s v="Almera Tino"/>
    <s v="1.8L Inline-4"/>
    <n v="1769"/>
    <m/>
    <n v="180"/>
    <n v="12.5"/>
    <n v="15000"/>
    <s v="Petrol"/>
    <n v="5"/>
    <n v="160"/>
  </r>
  <r>
    <x v="0"/>
    <s v="GR COROLLA"/>
    <s v="1.6L,TURBOCHARGED INLINE-3"/>
    <n v="1618"/>
    <n v="300"/>
    <n v="230"/>
    <m/>
    <n v="36995"/>
    <s v="Petrol"/>
    <n v="5"/>
    <n v="370"/>
  </r>
  <r>
    <x v="10"/>
    <s v="Accent"/>
    <s v="1.6L Inline-4"/>
    <n v="1600"/>
    <n v="120"/>
    <n v="180"/>
    <n v="9.8000000000000007"/>
    <n v="15000"/>
    <s v="Petrol"/>
    <n v="5"/>
    <n v="151"/>
  </r>
  <r>
    <x v="10"/>
    <s v="Venue"/>
    <s v="1.6L Inline-4"/>
    <n v="1600"/>
    <n v="121"/>
    <n v="180"/>
    <n v="9.5"/>
    <n v="18000"/>
    <s v="Petrol"/>
    <n v="5"/>
    <n v="240"/>
  </r>
  <r>
    <x v="10"/>
    <s v="Ioniq"/>
    <s v="1.6L Inline-4"/>
    <n v="1600"/>
    <n v="139"/>
    <n v="160"/>
    <n v="8.5"/>
    <n v="18000"/>
    <s v="Hybrid/Electric"/>
    <n v="5"/>
    <n v="295"/>
  </r>
  <r>
    <x v="13"/>
    <s v="Lancer GLX"/>
    <s v="1.6L MIVEC"/>
    <n v="1600"/>
    <n v="115"/>
    <n v="190"/>
    <n v="11.5"/>
    <n v="18500"/>
    <s v="Petrol"/>
    <n v="5"/>
    <n v="154"/>
  </r>
  <r>
    <x v="12"/>
    <s v="323F"/>
    <s v="1.6L Inline-4"/>
    <n v="1600"/>
    <n v="105"/>
    <n v="180"/>
    <n v="10.5"/>
    <n v="16000"/>
    <s v="Petrol"/>
    <n v="5"/>
    <n v="145"/>
  </r>
  <r>
    <x v="12"/>
    <s v="Capella"/>
    <s v="1.6L Inline-4"/>
    <n v="1600"/>
    <n v="110"/>
    <n v="175"/>
    <n v="11.2"/>
    <n v="16000"/>
    <s v="Petrol"/>
    <n v="5"/>
    <n v="145"/>
  </r>
  <r>
    <x v="12"/>
    <s v="818"/>
    <s v="1.6L Inline-4"/>
    <n v="1600"/>
    <n v="100"/>
    <n v="170"/>
    <n v="12.5"/>
    <n v="16000"/>
    <s v="Petrol"/>
    <n v="5"/>
    <n v="130"/>
  </r>
  <r>
    <x v="22"/>
    <s v="114i"/>
    <s v="I4"/>
    <n v="1598"/>
    <n v="102"/>
    <n v="195"/>
    <n v="11.2"/>
    <n v="26000"/>
    <s v="Petrol"/>
    <n v="5"/>
    <n v="200"/>
  </r>
  <r>
    <x v="22"/>
    <s v="116i EFFICIENTDYNAMICS"/>
    <s v="I4"/>
    <n v="1598"/>
    <n v="109"/>
    <n v="195"/>
    <n v="10.9"/>
    <n v="29000"/>
    <s v="Petrol"/>
    <n v="5"/>
    <n v="200"/>
  </r>
  <r>
    <x v="3"/>
    <s v="Vento"/>
    <s v="1.6L I4 Gas / Diesel"/>
    <n v="1598"/>
    <n v="108"/>
    <n v="186"/>
    <n v="11.7"/>
    <n v="18000"/>
    <s v="Petrol"/>
    <n v="5"/>
    <n v="153"/>
  </r>
  <r>
    <x v="3"/>
    <s v="Polo GTI R5"/>
    <s v="1.6L Turbocharged Rally Engine"/>
    <n v="1598"/>
    <n v="272"/>
    <n v="200"/>
    <n v="4.0999999999999996"/>
    <n v="45000"/>
    <s v="Petrol"/>
    <n v="5"/>
    <n v="400"/>
  </r>
  <r>
    <x v="2"/>
    <s v="Versa"/>
    <s v="1.6L Inline-4"/>
    <n v="1598"/>
    <m/>
    <n v="180"/>
    <n v="10.4"/>
    <n v="16700"/>
    <s v="Petrol"/>
    <n v="5"/>
    <n v="154"/>
  </r>
  <r>
    <x v="2"/>
    <s v="Kicks"/>
    <s v="1.6L Inline-4"/>
    <n v="1598"/>
    <m/>
    <n v="180"/>
    <n v="10.7"/>
    <n v="20000"/>
    <s v="Petrol"/>
    <n v="5"/>
    <n v="154"/>
  </r>
  <r>
    <x v="2"/>
    <s v="Sunny"/>
    <s v="1.6L Inline-4"/>
    <n v="1598"/>
    <m/>
    <n v="180"/>
    <n v="11"/>
    <n v="15000"/>
    <s v="Petrol"/>
    <n v="5"/>
    <n v="156"/>
  </r>
  <r>
    <x v="2"/>
    <s v="Tiida"/>
    <s v="1.6L Inline-4"/>
    <n v="1598"/>
    <m/>
    <n v="190"/>
    <n v="10.1"/>
    <n v="14500"/>
    <s v="Petrol"/>
    <n v="5"/>
    <n v="154"/>
  </r>
  <r>
    <x v="2"/>
    <s v="Terrano XL"/>
    <s v="1.6L Inline-4"/>
    <n v="1598"/>
    <m/>
    <n v="165"/>
    <n v="12.5"/>
    <n v="14000"/>
    <s v="Petrol"/>
    <n v="5"/>
    <n v="145"/>
  </r>
  <r>
    <x v="2"/>
    <s v="Sunny NISMO Edition"/>
    <s v="1.6L Turbo Inline-4"/>
    <n v="1598"/>
    <m/>
    <n v="200"/>
    <n v="7.5"/>
    <n v="24000"/>
    <s v="Petrol"/>
    <n v="5"/>
    <n v="240"/>
  </r>
  <r>
    <x v="17"/>
    <s v="301"/>
    <s v="Inline-4"/>
    <n v="1598"/>
    <n v="115"/>
    <n v="185"/>
    <n v="10"/>
    <n v="23500"/>
    <s v="Petrol"/>
    <n v="5"/>
    <n v="150"/>
  </r>
  <r>
    <x v="17"/>
    <s v="308"/>
    <s v="Inline-4"/>
    <n v="1598"/>
    <n v="130"/>
    <n v="200"/>
    <n v="8"/>
    <n v="28000"/>
    <s v="Petrol"/>
    <n v="5"/>
    <n v="230"/>
  </r>
  <r>
    <x v="17"/>
    <s v="3008"/>
    <s v="Inline-4"/>
    <n v="1598"/>
    <n v="180"/>
    <n v="210"/>
    <n v="7.5"/>
    <n v="32000"/>
    <s v="Petrol"/>
    <n v="5"/>
    <n v="400"/>
  </r>
  <r>
    <x v="17"/>
    <s v="208 GTI"/>
    <s v="Inline-4"/>
    <n v="1598"/>
    <n v="208"/>
    <n v="230"/>
    <n v="6.5"/>
    <n v="28000"/>
    <s v="Petrol"/>
    <n v="5"/>
    <n v="300"/>
  </r>
  <r>
    <x v="17"/>
    <s v="308 GTI"/>
    <s v="Inline-4"/>
    <n v="1598"/>
    <n v="270"/>
    <n v="250"/>
    <n v="6"/>
    <n v="35000"/>
    <s v="Petrol"/>
    <n v="5"/>
    <n v="330"/>
  </r>
  <r>
    <x v="17"/>
    <s v="3008 GT"/>
    <s v="Inline-4"/>
    <n v="1598"/>
    <n v="200"/>
    <n v="220"/>
    <n v="7.5"/>
    <n v="35000"/>
    <s v="Petrol"/>
    <n v="5"/>
    <n v="280"/>
  </r>
  <r>
    <x v="17"/>
    <s v="508 GT"/>
    <s v="Inline-4"/>
    <n v="1598"/>
    <n v="225"/>
    <n v="235"/>
    <n v="6.8"/>
    <n v="40000"/>
    <s v="Petrol"/>
    <n v="5"/>
    <n v="300"/>
  </r>
  <r>
    <x v="17"/>
    <s v="3008 GT Line"/>
    <s v="Inline-4"/>
    <n v="1598"/>
    <n v="180"/>
    <n v="210"/>
    <n v="8.5"/>
    <n v="35000"/>
    <s v="Petrol"/>
    <n v="5"/>
    <n v="250"/>
  </r>
  <r>
    <x v="17"/>
    <s v="508 SW (Station Wagon)"/>
    <s v="Inline-4"/>
    <n v="1598"/>
    <n v="180"/>
    <n v="220"/>
    <n v="8.4"/>
    <n v="35000"/>
    <s v="Petrol"/>
    <n v="5"/>
    <n v="300"/>
  </r>
  <r>
    <x v="17"/>
    <s v="508 Saloon"/>
    <s v="Inline-4"/>
    <n v="1598"/>
    <n v="180"/>
    <n v="210"/>
    <n v="8.6"/>
    <n v="37000"/>
    <s v="Petrol"/>
    <n v="5"/>
    <n v="300"/>
  </r>
  <r>
    <x v="12"/>
    <s v="Etude"/>
    <s v="1.6L Inline-4"/>
    <n v="1598"/>
    <n v="105"/>
    <n v="170"/>
    <n v="10"/>
    <n v="15000"/>
    <s v="Petrol"/>
    <n v="5"/>
    <n v="135"/>
  </r>
  <r>
    <x v="2"/>
    <s v="Sunny California"/>
    <s v="1.6L Inline-4"/>
    <n v="1597"/>
    <m/>
    <n v="170"/>
    <n v="11"/>
    <n v="18000"/>
    <s v="Petrol"/>
    <n v="5"/>
    <n v="140"/>
  </r>
  <r>
    <x v="2"/>
    <s v="Lucino"/>
    <s v="1.6L Inline-4"/>
    <n v="1597"/>
    <m/>
    <n v="185"/>
    <n v="10.5"/>
    <n v="12000"/>
    <s v="Petrol"/>
    <n v="5"/>
    <n v="150"/>
  </r>
  <r>
    <x v="10"/>
    <s v="Kona"/>
    <s v="1.6L PETROL "/>
    <n v="1591"/>
    <n v="147"/>
    <n v="185"/>
    <m/>
    <n v="20500"/>
    <s v="Petrol/EV"/>
    <n v="5"/>
    <n v="400"/>
  </r>
  <r>
    <x v="7"/>
    <s v="Rio"/>
    <s v="1.6L 4-Cylinder"/>
    <n v="1591"/>
    <n v="120"/>
    <n v="180"/>
    <n v="10.3"/>
    <n v="17000"/>
    <s v="Petrol"/>
    <n v="5"/>
    <n v="151"/>
  </r>
  <r>
    <x v="7"/>
    <s v="Rio 5-Door"/>
    <s v="1.6L 4-Cylinder"/>
    <n v="1591"/>
    <n v="120"/>
    <n v="180"/>
    <n v="10.3"/>
    <n v="18000"/>
    <s v="Petrol"/>
    <n v="5"/>
    <n v="151"/>
  </r>
  <r>
    <x v="7"/>
    <s v="Seltos Nightfall Edition"/>
    <s v="1.6L Turbocharged 4-Cylinder"/>
    <n v="1591"/>
    <n v="175"/>
    <n v="210"/>
    <n v="7.5"/>
    <n v="28000"/>
    <s v="Petrol"/>
    <n v="5"/>
    <n v="264"/>
  </r>
  <r>
    <x v="7"/>
    <s v="K5 EX"/>
    <s v="1.6L Turbocharged 4-Cylinder"/>
    <n v="1591"/>
    <n v="180"/>
    <n v="220"/>
    <n v="7.8"/>
    <n v="28500"/>
    <s v="Petrol"/>
    <n v="5"/>
    <n v="264"/>
  </r>
  <r>
    <x v="7"/>
    <s v="Niro Plug-In Hybrid"/>
    <s v="1.6L 4-Cylinder Hybrid"/>
    <n v="1591"/>
    <n v="139"/>
    <n v="180"/>
    <n v="10.5"/>
    <n v="33000"/>
    <s v="Hybrid"/>
    <n v="5"/>
    <n v="265"/>
  </r>
  <r>
    <x v="7"/>
    <s v="Soul Turbo"/>
    <s v="1.6L Turbocharged 4-Cylinder"/>
    <n v="1591"/>
    <n v="201"/>
    <n v="200"/>
    <n v="6.5"/>
    <n v="28000"/>
    <s v="Petrol"/>
    <n v="5"/>
    <n v="264"/>
  </r>
  <r>
    <x v="7"/>
    <s v="Seltos SX"/>
    <s v="1.6L Turbocharged 4-Cylinder"/>
    <n v="1591"/>
    <n v="175"/>
    <n v="210"/>
    <n v="7.5"/>
    <n v="28500"/>
    <s v="Petrol"/>
    <n v="5"/>
    <n v="264"/>
  </r>
  <r>
    <x v="7"/>
    <s v="Niro Touring"/>
    <s v="1.6L 4-Cylinder Hybrid"/>
    <n v="1591"/>
    <n v="139"/>
    <n v="180"/>
    <n v="10.5"/>
    <n v="33000"/>
    <s v="Hybrid"/>
    <n v="5"/>
    <n v="265"/>
  </r>
  <r>
    <x v="7"/>
    <s v="Forte GT-Line"/>
    <s v="1.6L Turbocharged 4-Cylinder"/>
    <n v="1591"/>
    <n v="201"/>
    <n v="200"/>
    <n v="6.5"/>
    <n v="25000"/>
    <s v="Petrol"/>
    <n v="5"/>
    <n v="264"/>
  </r>
  <r>
    <x v="7"/>
    <s v="K5 GT-Line"/>
    <s v="1.6L Turbocharged 4-Cylinder"/>
    <n v="1591"/>
    <n v="180"/>
    <n v="220"/>
    <n v="7.8"/>
    <n v="29000"/>
    <s v="Petrol"/>
    <n v="5"/>
    <n v="264"/>
  </r>
  <r>
    <x v="7"/>
    <s v="Niro EX"/>
    <s v="1.6L 4-Cylinder Hybrid"/>
    <n v="1591"/>
    <n v="139"/>
    <n v="180"/>
    <n v="10.5"/>
    <n v="30000"/>
    <s v="Hybrid"/>
    <n v="5"/>
    <n v="265"/>
  </r>
  <r>
    <x v="7"/>
    <s v="Niro SX Touring"/>
    <s v="1.6L 4-Cylinder Hybrid"/>
    <n v="1591"/>
    <n v="139"/>
    <n v="180"/>
    <n v="10.5"/>
    <n v="34500"/>
    <s v="Hybrid"/>
    <n v="5"/>
    <n v="265"/>
  </r>
  <r>
    <x v="7"/>
    <s v="Seltos SX Turbo"/>
    <s v="1.6L Turbocharged 4-Cylinder"/>
    <n v="1591"/>
    <n v="175"/>
    <n v="210"/>
    <n v="7.5"/>
    <n v="32000"/>
    <s v="Petrol"/>
    <n v="5"/>
    <n v="264"/>
  </r>
  <r>
    <x v="7"/>
    <s v="Rio S"/>
    <s v="1.6L 4-Cylinder"/>
    <n v="1591"/>
    <n v="120"/>
    <n v="180"/>
    <n v="10.3"/>
    <n v="17500"/>
    <s v="Petrol"/>
    <n v="5"/>
    <n v="151"/>
  </r>
  <r>
    <x v="7"/>
    <s v="Rio 5-Door S"/>
    <s v="1.6L 4-Cylinder"/>
    <n v="1591"/>
    <n v="120"/>
    <n v="180"/>
    <n v="10.3"/>
    <n v="18000"/>
    <s v="Petrol"/>
    <n v="5"/>
    <n v="151"/>
  </r>
  <r>
    <x v="7"/>
    <s v="Forte GT Turbo"/>
    <s v="1.6L Turbocharged 4-Cylinder"/>
    <n v="1591"/>
    <n v="201"/>
    <n v="200"/>
    <n v="6.5"/>
    <n v="25500"/>
    <s v="Petrol"/>
    <n v="5"/>
    <n v="264"/>
  </r>
  <r>
    <x v="7"/>
    <s v="Seltos X-Line Turbo"/>
    <s v="1.6L Turbocharged 4-Cylinder"/>
    <n v="1591"/>
    <n v="175"/>
    <n v="210"/>
    <n v="7.5"/>
    <n v="30000"/>
    <s v="Petrol"/>
    <n v="5"/>
    <n v="264"/>
  </r>
  <r>
    <x v="7"/>
    <s v="Niro SX Hybrid"/>
    <s v="1.6L Hybrid Turbocharged 4-Cylinder"/>
    <n v="1591"/>
    <n v="139"/>
    <n v="180"/>
    <n v="10.5"/>
    <n v="36000"/>
    <s v="Hybrid"/>
    <n v="5"/>
    <n v="265"/>
  </r>
  <r>
    <x v="17"/>
    <s v="Partner"/>
    <s v="Diesel I4"/>
    <n v="1560"/>
    <n v="75"/>
    <n v="160"/>
    <n v="12"/>
    <n v="22500"/>
    <s v="Diesel"/>
    <n v="5"/>
    <n v="200"/>
  </r>
  <r>
    <x v="17"/>
    <s v="Partner Tepee"/>
    <s v="Inline-4"/>
    <n v="1560"/>
    <n v="100"/>
    <n v="170"/>
    <n v="12"/>
    <n v="25000"/>
    <s v="Diesel"/>
    <n v="5"/>
    <n v="260"/>
  </r>
  <r>
    <x v="12"/>
    <s v="Mazda2"/>
    <s v="1.5L 4-Cylinder"/>
    <n v="1500"/>
    <n v="108"/>
    <n v="180"/>
    <n v="10.199999999999999"/>
    <n v="18500"/>
    <s v="Petrol"/>
    <n v="5"/>
    <n v="142"/>
  </r>
  <r>
    <x v="5"/>
    <s v="Malibu"/>
    <s v="1.5L Turbo Inline-4 Gasoline"/>
    <n v="1500"/>
    <n v="160"/>
    <n v="210"/>
    <n v="8"/>
    <n v="25000"/>
    <s v="Petrol"/>
    <n v="5"/>
    <n v="250"/>
  </r>
  <r>
    <x v="5"/>
    <s v="Equinox"/>
    <s v="1.5L Turbo Inline-4 Gasoline"/>
    <n v="1500"/>
    <n v="170"/>
    <n v="200"/>
    <n v="8.9"/>
    <n v="26600"/>
    <s v="Petrol"/>
    <n v="5"/>
    <n v="275"/>
  </r>
  <r>
    <x v="5"/>
    <s v="Equinox Premier"/>
    <s v="1.5L Turbo Inline-4 Gasoline"/>
    <n v="1500"/>
    <n v="170"/>
    <n v="200"/>
    <n v="8.8000000000000007"/>
    <n v="33400"/>
    <s v="Petrol"/>
    <n v="5"/>
    <n v="275"/>
  </r>
  <r>
    <x v="5"/>
    <s v="Malibu LT"/>
    <s v="1.5L Turbo Inline-4 Gasoline"/>
    <n v="1500"/>
    <n v="160"/>
    <n v="210"/>
    <n v="8.5"/>
    <n v="25800"/>
    <s v="Petrol"/>
    <n v="5"/>
    <n v="250"/>
  </r>
  <r>
    <x v="5"/>
    <s v="Equinox LT"/>
    <s v="1.5L Turbo Inline-4 Gasoline"/>
    <n v="1500"/>
    <n v="170"/>
    <n v="200"/>
    <n v="8.9"/>
    <n v="28400"/>
    <s v="Petrol"/>
    <n v="5"/>
    <n v="275"/>
  </r>
  <r>
    <x v="5"/>
    <s v="Equinox RS"/>
    <s v="1.5L Turbo Inline-4 Gasoline"/>
    <n v="1500"/>
    <n v="170"/>
    <n v="200"/>
    <n v="8.8000000000000007"/>
    <n v="31900"/>
    <s v="Petrol"/>
    <n v="5"/>
    <n v="275"/>
  </r>
  <r>
    <x v="6"/>
    <s v="Terrain"/>
    <s v="1.5L Turbo 4-cylinder"/>
    <n v="1500"/>
    <n v="175"/>
    <n v="190"/>
    <n v="9.5"/>
    <n v="29900"/>
    <s v="Petrol"/>
    <n v="5"/>
    <n v="275"/>
  </r>
  <r>
    <x v="6"/>
    <s v="Terrain AT4"/>
    <s v="1.5L Turbo 4-cylinder"/>
    <n v="1500"/>
    <n v="175"/>
    <n v="190"/>
    <n v="9.6"/>
    <n v="36500"/>
    <s v="Petrol"/>
    <n v="5"/>
    <n v="275"/>
  </r>
  <r>
    <x v="6"/>
    <s v="Terrain Denali"/>
    <s v="1.5L Turbo 4-cylinder"/>
    <n v="1500"/>
    <n v="175"/>
    <n v="190"/>
    <n v="9.5"/>
    <n v="38600"/>
    <s v="Petrol"/>
    <n v="5"/>
    <n v="275"/>
  </r>
  <r>
    <x v="11"/>
    <s v="RDX Hybrid"/>
    <s v="Inline-4 Hybrid"/>
    <n v="1500"/>
    <n v="247"/>
    <n v="210"/>
    <n v="6.6"/>
    <n v="50000"/>
    <s v="Hybrid"/>
    <n v="5"/>
    <n v="400"/>
  </r>
  <r>
    <x v="11"/>
    <s v="RDX Turbo AWD"/>
    <s v="Inline-4 Turbocharged"/>
    <n v="1500"/>
    <n v="272"/>
    <n v="210"/>
    <n v="6.6"/>
    <n v="45000"/>
    <s v="Petrol"/>
    <n v="5"/>
    <n v="400"/>
  </r>
  <r>
    <x v="11"/>
    <s v="RDX Turbo SH-AWD"/>
    <s v="Turbocharged I4"/>
    <n v="1500"/>
    <n v="272"/>
    <n v="210"/>
    <n v="6.6"/>
    <n v="42000"/>
    <s v="Petrol"/>
    <n v="5"/>
    <n v="400"/>
  </r>
  <r>
    <x v="1"/>
    <s v="Fiesta ST"/>
    <s v="1.5L Turbo Inline-3"/>
    <n v="1500"/>
    <n v="200"/>
    <n v="230"/>
    <n v="6.5"/>
    <n v="23000"/>
    <s v="Petrol"/>
    <n v="5"/>
    <n v="290"/>
  </r>
  <r>
    <x v="1"/>
    <s v="Territory"/>
    <s v="Turbocharged Inline-4"/>
    <n v="1500"/>
    <n v="140"/>
    <n v="180"/>
    <n v="11"/>
    <n v="32000"/>
    <s v="Petrol"/>
    <n v="5"/>
    <n v="225"/>
  </r>
  <r>
    <x v="13"/>
    <s v="Eclipse Cross"/>
    <s v="1.5L Turbo"/>
    <n v="1500"/>
    <n v="152"/>
    <n v="180"/>
    <n v="9.8000000000000007"/>
    <n v="26500"/>
    <s v="Petrol"/>
    <n v="5"/>
    <n v="250"/>
  </r>
  <r>
    <x v="13"/>
    <s v="Eclipse Cross Black Edition"/>
    <s v="1.5L Turbo"/>
    <n v="1500"/>
    <n v="152"/>
    <n v="180"/>
    <n v="9.8000000000000007"/>
    <n v="29000"/>
    <s v="Petrol"/>
    <n v="5"/>
    <n v="250"/>
  </r>
  <r>
    <x v="12"/>
    <s v="Familia Sedan"/>
    <s v="1.5L Inline-4"/>
    <n v="1500"/>
    <n v="100"/>
    <n v="175"/>
    <n v="11"/>
    <n v="14000"/>
    <s v="Petrol"/>
    <n v="5"/>
    <n v="135"/>
  </r>
  <r>
    <x v="12"/>
    <s v="Demio"/>
    <s v="1.5L SkyActiv-G"/>
    <n v="1500"/>
    <n v="108"/>
    <n v="180"/>
    <n v="10.199999999999999"/>
    <n v="15500"/>
    <s v="Petrol"/>
    <n v="5"/>
    <n v="142"/>
  </r>
  <r>
    <x v="12"/>
    <s v="Verisa"/>
    <s v="1.5L Inline-4"/>
    <n v="1500"/>
    <n v="113"/>
    <n v="170"/>
    <n v="11"/>
    <n v="16000"/>
    <s v="Petrol"/>
    <n v="5"/>
    <n v="140"/>
  </r>
  <r>
    <x v="12"/>
    <s v="1500"/>
    <s v="1.5L Inline-4"/>
    <n v="1500"/>
    <n v="85"/>
    <n v="145"/>
    <n v="14"/>
    <n v="13500"/>
    <s v="Petrol"/>
    <n v="5"/>
    <n v="120"/>
  </r>
  <r>
    <x v="22"/>
    <s v="118i"/>
    <s v="I3"/>
    <n v="1499"/>
    <n v="136"/>
    <n v="213"/>
    <n v="8.5"/>
    <n v="32000"/>
    <s v="Petrol"/>
    <n v="5"/>
    <n v="220"/>
  </r>
  <r>
    <x v="22"/>
    <s v="116i"/>
    <s v="I3"/>
    <n v="1499"/>
    <n v="109"/>
    <n v="200"/>
    <n v="10.9"/>
    <n v="28000"/>
    <s v="Petrol"/>
    <n v="5"/>
    <n v="200"/>
  </r>
  <r>
    <x v="22"/>
    <s v="118i XDRIVE"/>
    <s v="I3"/>
    <n v="1499"/>
    <n v="136"/>
    <n v="211"/>
    <n v="8.9"/>
    <n v="34000"/>
    <s v="Petrol"/>
    <n v="5"/>
    <n v="250"/>
  </r>
  <r>
    <x v="22"/>
    <s v="118i SPORTLINE"/>
    <s v="I3"/>
    <n v="1499"/>
    <n v="136"/>
    <n v="213"/>
    <n v="8.5"/>
    <n v="35000"/>
    <s v="Petrol"/>
    <n v="5"/>
    <n v="250"/>
  </r>
  <r>
    <x v="22"/>
    <s v="118i M SPORT"/>
    <s v="I3"/>
    <n v="1499"/>
    <n v="136"/>
    <n v="213"/>
    <n v="8.5"/>
    <n v="37000"/>
    <s v="Petrol"/>
    <n v="5"/>
    <n v="250"/>
  </r>
  <r>
    <x v="22"/>
    <s v="118i SHADOW LINE"/>
    <s v="I3"/>
    <n v="1499"/>
    <n v="136"/>
    <n v="213"/>
    <n v="8.5"/>
    <n v="36000"/>
    <s v="Petrol"/>
    <n v="5"/>
    <n v="250"/>
  </r>
  <r>
    <x v="22"/>
    <s v="118i URBAN LINE"/>
    <s v="I3"/>
    <n v="1499"/>
    <n v="136"/>
    <n v="213"/>
    <n v="8.5"/>
    <n v="35000"/>
    <s v="Petrol"/>
    <n v="5"/>
    <n v="250"/>
  </r>
  <r>
    <x v="17"/>
    <s v="3008 Allure"/>
    <s v="Inline-4"/>
    <n v="1499"/>
    <n v="180"/>
    <n v="210"/>
    <n v="8"/>
    <n v="30000"/>
    <s v="Petrol"/>
    <n v="5"/>
    <n v="250"/>
  </r>
  <r>
    <x v="17"/>
    <s v="508 Allure"/>
    <s v="Inline-4"/>
    <n v="1499"/>
    <n v="180"/>
    <n v="225"/>
    <n v="8"/>
    <n v="35000"/>
    <s v="Petrol"/>
    <n v="5"/>
    <n v="250"/>
  </r>
  <r>
    <x v="17"/>
    <s v="3008 Active"/>
    <s v="Inline-4"/>
    <n v="1499"/>
    <n v="130"/>
    <n v="200"/>
    <n v="10"/>
    <n v="30000"/>
    <s v="Petrol"/>
    <n v="5"/>
    <n v="240"/>
  </r>
  <r>
    <x v="17"/>
    <s v="3008 Allure Premium"/>
    <s v="Inline-4"/>
    <n v="1499"/>
    <n v="130"/>
    <n v="200"/>
    <n v="9.8000000000000007"/>
    <n v="32000"/>
    <s v="Petrol"/>
    <n v="5"/>
    <n v="240"/>
  </r>
  <r>
    <x v="8"/>
    <s v="ACCORD"/>
    <s v="I4"/>
    <n v="1498"/>
    <n v="192"/>
    <n v="201"/>
    <n v="7.1"/>
    <n v="29400"/>
    <s v="Petrol"/>
    <n v="5"/>
    <n v="370"/>
  </r>
  <r>
    <x v="8"/>
    <s v="CR-V"/>
    <s v="I4"/>
    <n v="1498"/>
    <n v="190"/>
    <n v="186"/>
    <n v="8.1999999999999993"/>
    <n v="30000"/>
    <s v="Petrol/Hybrid"/>
    <n v="5"/>
    <n v="400"/>
  </r>
  <r>
    <x v="8"/>
    <s v="CIVIC HATCHBACK"/>
    <s v="I4"/>
    <n v="1498"/>
    <n v="180"/>
    <n v="220"/>
    <n v="6.8"/>
    <n v="26350"/>
    <s v="Petrol"/>
    <n v="5"/>
    <n v="300"/>
  </r>
  <r>
    <x v="3"/>
    <s v="Jetta"/>
    <s v="1.5L Turbo I4"/>
    <n v="1498"/>
    <n v="189"/>
    <n v="210"/>
    <n v="7.7"/>
    <n v="21995"/>
    <s v="Petrol"/>
    <n v="5"/>
    <n v="250"/>
  </r>
  <r>
    <x v="3"/>
    <s v="Taigo"/>
    <s v="1.5L Turbo I4"/>
    <n v="1498"/>
    <n v="122"/>
    <n v="183"/>
    <n v="10"/>
    <n v="24000"/>
    <s v="Petrol"/>
    <n v="5"/>
    <n v="200"/>
  </r>
  <r>
    <x v="3"/>
    <s v="Golf Sportsvan"/>
    <s v="1.5L Turbo I4"/>
    <n v="1498"/>
    <n v="140"/>
    <n v="210"/>
    <n v="8.9"/>
    <n v="30000"/>
    <s v="Petrol"/>
    <n v="5"/>
    <n v="250"/>
  </r>
  <r>
    <x v="3"/>
    <s v="Santana"/>
    <s v="1.5L I4 Gas"/>
    <n v="1498"/>
    <n v="110"/>
    <n v="190"/>
    <n v="12.9"/>
    <n v="15000"/>
    <s v="Petrol"/>
    <n v="5"/>
    <n v="145"/>
  </r>
  <r>
    <x v="3"/>
    <s v="Taos"/>
    <s v="1.5L I4 Turbo"/>
    <n v="1498"/>
    <n v="158"/>
    <n v="193"/>
    <n v="8.4"/>
    <n v="24000"/>
    <s v="Petrol"/>
    <n v="5"/>
    <n v="250"/>
  </r>
  <r>
    <x v="3"/>
    <s v="Golf TGI"/>
    <s v="1.5L I4 CNG"/>
    <n v="1498"/>
    <n v="130"/>
    <n v="220"/>
    <n v="8.8000000000000007"/>
    <n v="30000"/>
    <s v="Petrol"/>
    <n v="5"/>
    <n v="200"/>
  </r>
  <r>
    <x v="2"/>
    <s v="X-Trail"/>
    <s v="1.5L Turbocharged Inline-3"/>
    <n v="1498"/>
    <m/>
    <n v="200"/>
    <n v="8"/>
    <n v="29000"/>
    <s v="Hybrid"/>
    <n v="5"/>
    <n v="305"/>
  </r>
  <r>
    <x v="2"/>
    <s v="Latio"/>
    <s v="1.5L Inline-4"/>
    <n v="1498"/>
    <m/>
    <n v="175"/>
    <n v="11.5"/>
    <n v="13000"/>
    <s v="Petrol"/>
    <n v="5"/>
    <n v="139"/>
  </r>
  <r>
    <x v="2"/>
    <s v="AD Wagon"/>
    <s v="1.5L Inline-4"/>
    <n v="1498"/>
    <m/>
    <n v="165"/>
    <n v="12.3"/>
    <n v="16000"/>
    <s v="Petrol"/>
    <n v="5"/>
    <n v="150"/>
  </r>
  <r>
    <x v="8"/>
    <s v="CITY"/>
    <s v="I4"/>
    <n v="1497"/>
    <n v="119"/>
    <n v="180"/>
    <n v="10.199999999999999"/>
    <n v="15400"/>
    <s v="Petrol/Hybrid"/>
    <n v="5"/>
    <n v="145"/>
  </r>
  <r>
    <x v="2"/>
    <s v="Rogue Platinum"/>
    <s v="1.5L Turbo Inline-3"/>
    <n v="1497"/>
    <m/>
    <n v="180"/>
    <n v="8.1999999999999993"/>
    <n v="38000"/>
    <s v="Petrol"/>
    <n v="5"/>
    <n v="300"/>
  </r>
  <r>
    <x v="2"/>
    <s v="Rogue Midnight Edition"/>
    <s v="1.5L Turbo Inline-3"/>
    <n v="1497"/>
    <m/>
    <n v="180"/>
    <n v="8.1999999999999993"/>
    <n v="39000"/>
    <s v="Petrol"/>
    <n v="5"/>
    <n v="300"/>
  </r>
  <r>
    <x v="2"/>
    <s v="X-Trail Tekna"/>
    <s v="1.5L Turbo Hybrid"/>
    <n v="1497"/>
    <m/>
    <n v="190"/>
    <n v="8"/>
    <n v="43000"/>
    <s v="Hybrid"/>
    <n v="5"/>
    <n v="305"/>
  </r>
  <r>
    <x v="2"/>
    <s v="X-Trail Platinum Edition"/>
    <s v="1.5L Turbo Hybrid"/>
    <n v="1497"/>
    <m/>
    <n v="190"/>
    <n v="8"/>
    <n v="46000"/>
    <s v="Hybrid"/>
    <n v="5"/>
    <n v="305"/>
  </r>
  <r>
    <x v="2"/>
    <s v="Qashqai e-Power"/>
    <s v="1.5L Hybrid"/>
    <n v="1497"/>
    <m/>
    <n v="200"/>
    <n v="7.5"/>
    <n v="40000"/>
    <s v="Hybrid"/>
    <n v="5"/>
    <n v="330"/>
  </r>
  <r>
    <x v="2"/>
    <s v="Rasheen"/>
    <s v="1.5L Inline-4"/>
    <n v="1497"/>
    <m/>
    <n v="165"/>
    <n v="13"/>
    <n v="10000"/>
    <s v="Petrol"/>
    <n v="5"/>
    <n v="135"/>
  </r>
  <r>
    <x v="12"/>
    <s v="Persona"/>
    <s v="1.5L Inline-4"/>
    <n v="1497"/>
    <n v="92"/>
    <n v="160"/>
    <n v="13.5"/>
    <n v="14500"/>
    <s v="Petrol"/>
    <n v="5"/>
    <n v="130"/>
  </r>
  <r>
    <x v="22"/>
    <s v="116D"/>
    <s v="I3"/>
    <n v="1496"/>
    <n v="116"/>
    <n v="200"/>
    <n v="10.3"/>
    <n v="30000"/>
    <s v="Diesel"/>
    <n v="5"/>
    <n v="280"/>
  </r>
  <r>
    <x v="22"/>
    <s v="114D"/>
    <s v="I3"/>
    <n v="1496"/>
    <n v="95"/>
    <n v="185"/>
    <n v="12.2"/>
    <n v="27000"/>
    <s v="Diesel"/>
    <n v="5"/>
    <n v="270"/>
  </r>
  <r>
    <x v="22"/>
    <s v="116D EFFICIENTDYNAMICS"/>
    <s v="I3"/>
    <n v="1496"/>
    <n v="116"/>
    <n v="200"/>
    <n v="10.9"/>
    <n v="30000"/>
    <s v="Diesel"/>
    <n v="5"/>
    <n v="270"/>
  </r>
  <r>
    <x v="22"/>
    <s v="116D ADVANTAGE"/>
    <s v="I3"/>
    <n v="1496"/>
    <n v="116"/>
    <n v="200"/>
    <n v="10.5"/>
    <n v="31000"/>
    <s v="Diesel"/>
    <n v="5"/>
    <n v="270"/>
  </r>
  <r>
    <x v="22"/>
    <s v="114D SPORT LINE"/>
    <s v="I3"/>
    <n v="1496"/>
    <n v="95"/>
    <n v="185"/>
    <n v="12.2"/>
    <n v="28000"/>
    <s v="Diesel"/>
    <n v="5"/>
    <n v="270"/>
  </r>
  <r>
    <x v="0"/>
    <s v="YARIS"/>
    <s v="I4"/>
    <n v="1496"/>
    <n v="106"/>
    <n v="180"/>
    <n v="11.2"/>
    <n v="18400"/>
    <s v="Petrol"/>
    <n v="5"/>
    <n v="150"/>
  </r>
  <r>
    <x v="0"/>
    <s v="URBAN CRUISER TAISOR"/>
    <s v="1.5L,HYBRID"/>
    <n v="1490"/>
    <n v="114"/>
    <n v="170"/>
    <n v="11"/>
    <n v="25000"/>
    <s v="Petrol"/>
    <n v="5"/>
    <n v="130"/>
  </r>
  <r>
    <x v="6"/>
    <s v="Terrain Elevation Edition"/>
    <s v="1.5L Turbocharged I4 engine"/>
    <n v="1490"/>
    <n v="170"/>
    <n v="200"/>
    <n v="9.3000000000000007"/>
    <n v="28700"/>
    <s v="Petrol"/>
    <n v="5"/>
    <n v="275"/>
  </r>
  <r>
    <x v="6"/>
    <s v="Terrain SLT"/>
    <s v="1.5L Turbocharged I4 engine"/>
    <n v="1490"/>
    <n v="170"/>
    <n v="200"/>
    <n v="9.4"/>
    <n v="31000"/>
    <s v="Petrol"/>
    <n v="5"/>
    <n v="275"/>
  </r>
  <r>
    <x v="6"/>
    <s v="Terrain All-Terrain Edition"/>
    <s v="1.5L Turbocharged I4 engine"/>
    <n v="1490"/>
    <n v="170"/>
    <n v="200"/>
    <n v="9.3000000000000007"/>
    <n v="35000"/>
    <s v="Petrol"/>
    <n v="5"/>
    <n v="275"/>
  </r>
  <r>
    <x v="26"/>
    <s v="BREZZA"/>
    <s v="1.5L,4-CYLINDER,INLINE(I4)"/>
    <n v="1462"/>
    <n v="103"/>
    <n v="180"/>
    <n v="11.5"/>
    <n v="14400"/>
    <s v="Petrol"/>
    <n v="5"/>
    <n v="200"/>
  </r>
  <r>
    <x v="2"/>
    <s v="Terrano"/>
    <s v="1.5L Inline-4 Diesel"/>
    <n v="1461"/>
    <m/>
    <n v="168"/>
    <n v="13.5"/>
    <n v="15500"/>
    <s v="Diesel"/>
    <n v="5"/>
    <n v="248"/>
  </r>
  <r>
    <x v="5"/>
    <s v="Spark"/>
    <s v="1.4L Inline-4 Gasoline"/>
    <n v="1400"/>
    <n v="98"/>
    <n v="180"/>
    <n v="10.7"/>
    <n v="14595"/>
    <s v="Petrol"/>
    <n v="5"/>
    <n v="127"/>
  </r>
  <r>
    <x v="5"/>
    <s v="Sonic"/>
    <s v="1.4L Turbo Inline-4 Gasoline"/>
    <n v="1400"/>
    <n v="138"/>
    <n v="190"/>
    <n v="8.5"/>
    <n v="16720"/>
    <s v="Petrol"/>
    <n v="5"/>
    <n v="200"/>
  </r>
  <r>
    <x v="5"/>
    <s v="Spark Activ"/>
    <s v="1.4L Inline-4 Gasoline"/>
    <n v="1400"/>
    <n v="98"/>
    <n v="180"/>
    <n v="11"/>
    <n v="17595"/>
    <s v="Petrol"/>
    <n v="5"/>
    <n v="127"/>
  </r>
  <r>
    <x v="5"/>
    <s v="Spark LS"/>
    <s v="1.4L Inline-4 Gasoline"/>
    <n v="1400"/>
    <n v="98"/>
    <n v="180"/>
    <n v="10.9"/>
    <n v="14395"/>
    <s v="Petrol"/>
    <n v="5"/>
    <n v="127"/>
  </r>
  <r>
    <x v="2"/>
    <s v="Cherry"/>
    <s v="1.4L Inline-4"/>
    <n v="1397"/>
    <m/>
    <n v="145"/>
    <n v="14"/>
    <n v="14000"/>
    <s v="Petrol"/>
    <n v="5"/>
    <n v="110"/>
  </r>
  <r>
    <x v="10"/>
    <s v="I20"/>
    <s v="1.4L,4-CYLINDER,INLINE-4(I4)"/>
    <n v="1396"/>
    <n v="99"/>
    <n v="180"/>
    <n v="10.5"/>
    <n v="15400"/>
    <s v="Petrol/Hybrid"/>
    <n v="5"/>
    <n v="250"/>
  </r>
  <r>
    <x v="15"/>
    <s v="Indica eV2"/>
    <s v="1.4L CR4 Diesel"/>
    <n v="1396"/>
    <n v="70"/>
    <n v="155"/>
    <n v="16"/>
    <n v="6200"/>
    <s v="Diesel"/>
    <n v="5"/>
    <n v="140"/>
  </r>
  <r>
    <x v="15"/>
    <s v="Indigo eCS"/>
    <s v="1.4L CR4 Diesel"/>
    <n v="1396"/>
    <n v="70"/>
    <n v="155"/>
    <n v="16.5"/>
    <n v="6500"/>
    <s v="Diesel"/>
    <n v="5"/>
    <n v="140"/>
  </r>
  <r>
    <x v="15"/>
    <s v="Indigo Marina"/>
    <s v="1.4L CR4 Diesel / 1.4L Petrol"/>
    <n v="1396"/>
    <m/>
    <n v="150"/>
    <n v="17"/>
    <n v="8300"/>
    <s v="Petrol/Diesel"/>
    <n v="5"/>
    <m/>
  </r>
  <r>
    <x v="15"/>
    <s v="Indigo LX"/>
    <s v="1.4L CR4 Diesel"/>
    <n v="1396"/>
    <n v="70"/>
    <n v="150"/>
    <n v="17"/>
    <n v="7000"/>
    <s v="Diesel"/>
    <n v="5"/>
    <n v="140"/>
  </r>
  <r>
    <x v="15"/>
    <s v="Indigo GLX"/>
    <s v="1.4L MPFI Petrol"/>
    <n v="1396"/>
    <n v="85"/>
    <n v="160"/>
    <n v="15"/>
    <n v="7200"/>
    <s v="Petrol"/>
    <n v="5"/>
    <n v="115"/>
  </r>
  <r>
    <x v="3"/>
    <s v="Jetta Hybrid"/>
    <s v="1.4L I4 Turbo + Electric Motor"/>
    <n v="1395"/>
    <n v="170"/>
    <n v="210"/>
    <n v="8.6"/>
    <n v="28000"/>
    <s v="Hybrid"/>
    <n v="5"/>
    <n v="250"/>
  </r>
  <r>
    <x v="3"/>
    <s v="Passat Hybrid"/>
    <s v="1.4L I4 Turbo + Electric Motor"/>
    <n v="1395"/>
    <n v="215"/>
    <n v="210"/>
    <n v="7.4"/>
    <n v="32000"/>
    <s v="Hybrid"/>
    <n v="5"/>
    <n v="330"/>
  </r>
  <r>
    <x v="2"/>
    <s v="Qashqai"/>
    <s v="1.3L Turbocharged Inline-4"/>
    <n v="1332"/>
    <m/>
    <n v="195"/>
    <n v="8.9"/>
    <n v="26000"/>
    <s v="Petrol"/>
    <n v="5"/>
    <n v="260"/>
  </r>
  <r>
    <x v="2"/>
    <s v="Qashqai Tekna"/>
    <s v="1.3L Turbo Hybrid Inline-4"/>
    <n v="1332"/>
    <m/>
    <n v="190"/>
    <n v="9.1999999999999993"/>
    <n v="36000"/>
    <s v="Hybrid"/>
    <n v="5"/>
    <n v="270"/>
  </r>
  <r>
    <x v="12"/>
    <s v="Premacy Hydrogen RE Hybrid"/>
    <s v="1.3L Wankel + Electric"/>
    <n v="1308"/>
    <n v="200"/>
    <n v="180"/>
    <n v="9.5"/>
    <n v="42500"/>
    <s v="Hybrid"/>
    <n v="5"/>
    <n v="260"/>
  </r>
  <r>
    <x v="12"/>
    <s v="Premacy Hydrogen RE"/>
    <s v="1.3L Wankel + Electric"/>
    <n v="1308"/>
    <n v="200"/>
    <n v="180"/>
    <n v="9.5"/>
    <n v="42500"/>
    <s v="Hybrid"/>
    <n v="5"/>
    <n v="260"/>
  </r>
  <r>
    <x v="4"/>
    <s v="Renegade"/>
    <s v="1.3L Turbo I4 Gasoline"/>
    <n v="1300"/>
    <n v="177"/>
    <n v="200"/>
    <n v="8.6999999999999993"/>
    <n v="28345"/>
    <s v="Petrol"/>
    <n v="5"/>
    <n v="285"/>
  </r>
  <r>
    <x v="5"/>
    <s v="Trailblazer"/>
    <s v="1.3L Turbo Inline-3 Gasoline"/>
    <n v="1300"/>
    <n v="155"/>
    <n v="200"/>
    <n v="9.4"/>
    <n v="23100"/>
    <s v="Petrol"/>
    <n v="5"/>
    <n v="236"/>
  </r>
  <r>
    <x v="12"/>
    <s v="Roadpacer AP"/>
    <s v="1.3L Rotary"/>
    <n v="1300"/>
    <n v="130"/>
    <n v="170"/>
    <n v="11.5"/>
    <n v="22500"/>
    <s v="Petrol"/>
    <n v="5"/>
    <n v="165"/>
  </r>
  <r>
    <x v="12"/>
    <s v="Revue"/>
    <s v="1.3L Inline-4"/>
    <n v="1300"/>
    <n v="75"/>
    <n v="130"/>
    <n v="15.5"/>
    <n v="11000"/>
    <s v="Petrol"/>
    <n v="5"/>
    <n v="110"/>
  </r>
  <r>
    <x v="12"/>
    <s v="121"/>
    <s v="1.3L Inline-4"/>
    <n v="1300"/>
    <n v="70"/>
    <n v="155"/>
    <n v="13"/>
    <n v="13500"/>
    <s v="Petrol"/>
    <n v="5"/>
    <n v="110"/>
  </r>
  <r>
    <x v="12"/>
    <s v="AZ-Offroad"/>
    <s v="1.3L Inline-4"/>
    <n v="1298"/>
    <n v="85"/>
    <n v="145"/>
    <n v="12"/>
    <n v="16500"/>
    <s v="Petrol"/>
    <n v="5"/>
    <n v="130"/>
  </r>
  <r>
    <x v="1"/>
    <s v="KA+"/>
    <s v="1.2L Petrol"/>
    <n v="1200"/>
    <n v="78"/>
    <n v="165"/>
    <n v="10.5"/>
    <n v="13500"/>
    <s v="Petrol"/>
    <n v="5"/>
    <n v="120"/>
  </r>
  <r>
    <x v="5"/>
    <s v="Trax LT"/>
    <s v="1.2L Turbo Inline-3 Gasoline"/>
    <n v="1200"/>
    <n v="137"/>
    <n v="200"/>
    <n v="9.1999999999999993"/>
    <n v="24100"/>
    <s v="Petrol"/>
    <n v="5"/>
    <n v="220"/>
  </r>
  <r>
    <x v="13"/>
    <s v="Mirage"/>
    <s v="1.2L MIVEC"/>
    <n v="1200"/>
    <n v="78"/>
    <n v="170"/>
    <n v="12"/>
    <n v="17000"/>
    <s v="Petrol"/>
    <n v="5"/>
    <n v="100"/>
  </r>
  <r>
    <x v="13"/>
    <s v="Mirage G4"/>
    <s v="1.2L MIVEC"/>
    <n v="1200"/>
    <n v="78"/>
    <n v="170"/>
    <n v="12"/>
    <n v="18000"/>
    <s v="Petrol"/>
    <n v="5"/>
    <n v="100"/>
  </r>
  <r>
    <x v="13"/>
    <s v="Space Star"/>
    <s v="1.2L MIVEC"/>
    <n v="1200"/>
    <n v="78"/>
    <n v="170"/>
    <n v="12"/>
    <n v="16000"/>
    <s v="Petrol"/>
    <n v="5"/>
    <n v="100"/>
  </r>
  <r>
    <x v="13"/>
    <s v="Attrage"/>
    <s v="1.2L MIVEC"/>
    <n v="1200"/>
    <n v="78"/>
    <n v="170"/>
    <n v="12.5"/>
    <n v="16000"/>
    <s v="Petrol"/>
    <n v="5"/>
    <n v="100"/>
  </r>
  <r>
    <x v="13"/>
    <s v="Mirage ES"/>
    <s v="1.2L MIVEC"/>
    <n v="1200"/>
    <n v="78"/>
    <n v="170"/>
    <n v="12.5"/>
    <n v="16000"/>
    <s v="Petrol"/>
    <n v="5"/>
    <n v="100"/>
  </r>
  <r>
    <x v="3"/>
    <s v="Polo BlueMotion"/>
    <s v="1.2L Diesel I3"/>
    <n v="1199"/>
    <n v="85"/>
    <n v="190"/>
    <n v="10.5"/>
    <n v="22000"/>
    <s v="Diesel"/>
    <n v="5"/>
    <n v="250"/>
  </r>
  <r>
    <x v="15"/>
    <s v="Tiago"/>
    <s v="1.2L Revotron 3-cylinder Petrol"/>
    <n v="1199"/>
    <n v="86"/>
    <n v="170"/>
    <n v="13"/>
    <n v="8200"/>
    <s v="Petrol"/>
    <n v="5"/>
    <n v="113"/>
  </r>
  <r>
    <x v="15"/>
    <s v="Altroz DCA"/>
    <s v="1.2L Revotron 3-cylinder Petrol"/>
    <n v="1199"/>
    <n v="86"/>
    <n v="170"/>
    <n v="12.5"/>
    <n v="11300"/>
    <s v="Petrol"/>
    <n v="5"/>
    <n v="113"/>
  </r>
  <r>
    <x v="15"/>
    <s v="Altroz iTurbo"/>
    <s v="1.2L Turbocharged Petrol"/>
    <n v="1199"/>
    <n v="110"/>
    <n v="180"/>
    <n v="10"/>
    <n v="12000"/>
    <s v="Petrol"/>
    <n v="5"/>
    <n v="140"/>
  </r>
  <r>
    <x v="15"/>
    <s v="Altroz CNG"/>
    <s v="1.2L Revotron Bi-Fuel"/>
    <n v="1199"/>
    <n v="86"/>
    <n v="165"/>
    <n v="12"/>
    <n v="11800"/>
    <s v="CNG/Petrol"/>
    <n v="5"/>
    <n v="113"/>
  </r>
  <r>
    <x v="15"/>
    <s v="Tiago NRG"/>
    <s v="1.2L Revotron 3-cylinder Petrol"/>
    <n v="1199"/>
    <n v="86"/>
    <n v="170"/>
    <n v="13.5"/>
    <n v="9200"/>
    <s v="Petrol"/>
    <n v="5"/>
    <n v="113"/>
  </r>
  <r>
    <x v="15"/>
    <s v="Tigor"/>
    <s v="1.2L Revotron 3-cylinder Petrol"/>
    <n v="1199"/>
    <n v="86"/>
    <n v="170"/>
    <n v="13"/>
    <n v="9400"/>
    <s v="Petrol"/>
    <n v="5"/>
    <n v="113"/>
  </r>
  <r>
    <x v="15"/>
    <s v="Punch"/>
    <s v="1.2L Revotron Petrol"/>
    <n v="1199"/>
    <n v="86"/>
    <n v="160"/>
    <n v="16"/>
    <n v="10500"/>
    <s v="Petrol"/>
    <n v="5"/>
    <n v="113"/>
  </r>
  <r>
    <x v="17"/>
    <s v="208"/>
    <s v="Inline-4"/>
    <n v="1199"/>
    <n v="82"/>
    <n v="180"/>
    <n v="10.5"/>
    <n v="22000"/>
    <s v="Petrol"/>
    <n v="5"/>
    <n v="160"/>
  </r>
  <r>
    <x v="17"/>
    <s v="2008"/>
    <s v="Inline-4"/>
    <n v="1199"/>
    <n v="100"/>
    <n v="190"/>
    <n v="9"/>
    <n v="25000"/>
    <s v="Petrol"/>
    <n v="5"/>
    <n v="205"/>
  </r>
  <r>
    <x v="17"/>
    <s v="308 Allure"/>
    <s v="Inline-4"/>
    <n v="1199"/>
    <n v="130"/>
    <n v="205"/>
    <n v="9.3000000000000007"/>
    <n v="25000"/>
    <s v="Petrol"/>
    <n v="5"/>
    <n v="230"/>
  </r>
  <r>
    <x v="17"/>
    <s v="2008 Allure"/>
    <s v="Inline-4"/>
    <n v="1199"/>
    <n v="130"/>
    <n v="200"/>
    <n v="9.6999999999999993"/>
    <n v="27000"/>
    <s v="Petrol"/>
    <n v="5"/>
    <n v="230"/>
  </r>
  <r>
    <x v="17"/>
    <s v="208 Allure Premium"/>
    <s v="Inline-4"/>
    <n v="1199"/>
    <n v="130"/>
    <n v="200"/>
    <n v="9.5"/>
    <n v="28000"/>
    <s v="Petrol"/>
    <n v="5"/>
    <n v="230"/>
  </r>
  <r>
    <x v="17"/>
    <s v="2008 Active"/>
    <s v="Inline-4"/>
    <n v="1199"/>
    <n v="100"/>
    <n v="190"/>
    <n v="11.2"/>
    <n v="22000"/>
    <s v="Petrol"/>
    <n v="5"/>
    <n v="205"/>
  </r>
  <r>
    <x v="17"/>
    <s v="2008 GT"/>
    <s v="Inline-4"/>
    <n v="1199"/>
    <n v="130"/>
    <n v="200"/>
    <n v="9.3000000000000007"/>
    <n v="25000"/>
    <s v="Petrol"/>
    <n v="5"/>
    <n v="230"/>
  </r>
  <r>
    <x v="17"/>
    <s v="308 Saloon"/>
    <s v="Inline-4"/>
    <n v="1199"/>
    <n v="130"/>
    <n v="200"/>
    <n v="9"/>
    <n v="28000"/>
    <s v="Petrol"/>
    <n v="5"/>
    <n v="230"/>
  </r>
  <r>
    <x v="17"/>
    <s v="301 Sedan"/>
    <s v="Inline-4"/>
    <n v="1199"/>
    <n v="82"/>
    <n v="180"/>
    <n v="12"/>
    <n v="20000"/>
    <s v="Petrol"/>
    <n v="5"/>
    <n v="115"/>
  </r>
  <r>
    <x v="17"/>
    <s v="208 Sedan"/>
    <s v="Inline-4"/>
    <n v="1199"/>
    <n v="100"/>
    <n v="190"/>
    <n v="11.2"/>
    <n v="22000"/>
    <s v="Petrol"/>
    <n v="5"/>
    <n v="205"/>
  </r>
  <r>
    <x v="2"/>
    <s v="Note"/>
    <s v="1.2L Inline-3 Hybrid"/>
    <n v="1198"/>
    <m/>
    <n v="170"/>
    <n v="11.5"/>
    <n v="16000"/>
    <s v="Hybrid"/>
    <n v="5"/>
    <n v="150"/>
  </r>
  <r>
    <x v="2"/>
    <s v="March"/>
    <s v="1.2L Inline-3"/>
    <n v="1198"/>
    <m/>
    <n v="170"/>
    <n v="13.7"/>
    <n v="12000"/>
    <s v="Petrol"/>
    <n v="5"/>
    <n v="106"/>
  </r>
  <r>
    <x v="10"/>
    <s v="I10"/>
    <s v="1.2L,4-CYLINDER,INLINE-4(I4)"/>
    <n v="1197"/>
    <n v="87"/>
    <n v="160"/>
    <n v="12.2"/>
    <n v="12400"/>
    <s v="Petrol"/>
    <n v="5"/>
    <n v="120"/>
  </r>
  <r>
    <x v="26"/>
    <s v="SWIFT"/>
    <s v="1.2L,4-CYLINDER,INLINE-4(I4)"/>
    <n v="1197"/>
    <n v="83"/>
    <n v="160"/>
    <n v="12.2"/>
    <n v="10400"/>
    <s v="Petrol"/>
    <n v="5"/>
    <n v="113"/>
  </r>
  <r>
    <x v="26"/>
    <s v="DZIRE"/>
    <s v="1.2L,4-CYLINDER,INLINE-4(I4)"/>
    <n v="1197"/>
    <n v="83"/>
    <n v="160"/>
    <n v="12.2"/>
    <n v="11400"/>
    <s v="Petrol/Diesel"/>
    <n v="5"/>
    <n v="113"/>
  </r>
  <r>
    <x v="2"/>
    <s v="Pulsar"/>
    <s v="1.2L Turbocharged Inline-4"/>
    <n v="1197"/>
    <m/>
    <n v="190"/>
    <n v="10.7"/>
    <n v="19000"/>
    <s v="Petrol"/>
    <n v="5"/>
    <n v="190"/>
  </r>
  <r>
    <x v="15"/>
    <s v="Indica V2 Xeta"/>
    <s v="1.2L MPFI Petrol"/>
    <n v="1193"/>
    <n v="65"/>
    <n v="140"/>
    <n v="16"/>
    <n v="5000"/>
    <s v="Petrol"/>
    <n v="5"/>
    <n v="100"/>
  </r>
  <r>
    <x v="1"/>
    <s v="Puma"/>
    <s v="Turbocharged Inline-3"/>
    <n v="1000"/>
    <n v="123"/>
    <n v="191"/>
    <n v="9.6"/>
    <n v="28000"/>
    <s v="Petrol"/>
    <n v="5"/>
    <n v="200"/>
  </r>
  <r>
    <x v="3"/>
    <s v="Polo Beats"/>
    <s v="1.0L I3 Turbo"/>
    <n v="999"/>
    <n v="95"/>
    <n v="187"/>
    <n v="9.5"/>
    <n v="22000"/>
    <s v="Petrol"/>
    <n v="5"/>
    <n v="175"/>
  </r>
  <r>
    <x v="2"/>
    <s v="Micra"/>
    <s v="1.0L Turbocharged Inline-3"/>
    <n v="999"/>
    <m/>
    <n v="175"/>
    <n v="10.8"/>
    <n v="15500"/>
    <s v="Petrol"/>
    <n v="5"/>
    <n v="160"/>
  </r>
  <r>
    <x v="2"/>
    <s v="Almera"/>
    <s v="1.0L Turbocharged Inline-3"/>
    <n v="999"/>
    <m/>
    <n v="185"/>
    <n v="10.7"/>
    <n v="14500"/>
    <s v="Petrol"/>
    <n v="5"/>
    <n v="160"/>
  </r>
  <r>
    <x v="2"/>
    <s v="Juke"/>
    <s v="1.0L Turbocharged Inline-3"/>
    <n v="999"/>
    <m/>
    <n v="180"/>
    <n v="10.4"/>
    <n v="25000"/>
    <s v="Petrol"/>
    <n v="5"/>
    <n v="180"/>
  </r>
  <r>
    <x v="2"/>
    <s v="Magnite"/>
    <s v="1.0L Turbocharged Inline-3"/>
    <n v="999"/>
    <m/>
    <n v="160"/>
    <n v="13"/>
    <n v="12000"/>
    <s v="Petrol"/>
    <n v="5"/>
    <n v="160"/>
  </r>
  <r>
    <x v="21"/>
    <s v="BENZ EQS 53"/>
    <s v="ELECTRIC MOTOR"/>
    <m/>
    <n v="751"/>
    <n v="250"/>
    <n v="3.4"/>
    <n v="102000"/>
    <s v="Electric"/>
    <n v="5"/>
    <n v="950"/>
  </r>
  <r>
    <x v="14"/>
    <s v="E-TRON"/>
    <s v="ELECTRIC "/>
    <m/>
    <n v="402"/>
    <n v="200"/>
    <n v="5.5"/>
    <n v="75000"/>
    <s v="Electric"/>
    <n v="5"/>
    <n v="664"/>
  </r>
  <r>
    <x v="14"/>
    <s v="E-TRON SPORTBACK"/>
    <s v="ELECTRIC"/>
    <m/>
    <n v="402"/>
    <n v="200"/>
    <n v="5.5"/>
    <n v="78000"/>
    <s v="Electric"/>
    <n v="5"/>
    <n v="664"/>
  </r>
  <r>
    <x v="7"/>
    <s v="SPORTAGE PHEV"/>
    <s v="I4 + ELECTRIC"/>
    <m/>
    <n v="261"/>
    <n v="180"/>
    <n v="8"/>
    <n v="41000"/>
    <s v="Plug-in Hybrid"/>
    <n v="5"/>
    <n v="350"/>
  </r>
  <r>
    <x v="7"/>
    <s v="SPORTAGE 2024(HYBRID AWD)"/>
    <s v="I4 + ELECTRIC"/>
    <m/>
    <n v="227"/>
    <n v="180"/>
    <n v="8"/>
    <n v="37000"/>
    <s v="Hybrid"/>
    <n v="5"/>
    <n v="350"/>
  </r>
  <r>
    <x v="7"/>
    <s v="SPORTAGE 2024(PLUG-IN HYBRID AWD)"/>
    <s v="I4 + ELECTRIC"/>
    <m/>
    <n v="261"/>
    <n v="180"/>
    <n v="7.9"/>
    <n v="42000"/>
    <s v="Plug-in Hybrid"/>
    <n v="5"/>
    <n v="350"/>
  </r>
  <r>
    <x v="0"/>
    <s v="BZ4X"/>
    <s v="ELECTRIC"/>
    <m/>
    <n v="218"/>
    <n v="200"/>
    <n v="7.5"/>
    <n v="43400"/>
    <s v="Electric"/>
    <n v="5"/>
    <n v="330"/>
  </r>
  <r>
    <x v="0"/>
    <s v="BZ3"/>
    <s v="ELECTRIC MOTOR"/>
    <m/>
    <n v="241"/>
    <n v="160"/>
    <n v="7.5"/>
    <n v="35000"/>
    <s v="Electric"/>
    <n v="5"/>
    <n v="340"/>
  </r>
  <r>
    <x v="10"/>
    <s v="IONIQ 5"/>
    <s v="ELECTRIC MOTOR"/>
    <m/>
    <n v="225"/>
    <n v="185"/>
    <n v="7.4"/>
    <n v="41000"/>
    <s v="Electric"/>
    <n v="5"/>
    <n v="350"/>
  </r>
  <r>
    <x v="10"/>
    <s v="IONIQ 6"/>
    <s v="Electric Motor"/>
    <m/>
    <n v="320"/>
    <n v="185"/>
    <n v="5.2"/>
    <n v="41450"/>
    <s v="Electric"/>
    <n v="5"/>
    <n v="350"/>
  </r>
  <r>
    <x v="10"/>
    <s v="KONA Electric"/>
    <s v="Electric Motor"/>
    <m/>
    <n v="200"/>
    <n v="200"/>
    <n v="6.1"/>
    <n v="40000"/>
    <s v="Electric"/>
    <n v="5"/>
    <n v="395"/>
  </r>
  <r>
    <x v="10"/>
    <s v="NEXO"/>
    <s v="Electric Motor"/>
    <m/>
    <n v="161"/>
    <n v="180"/>
    <n v="7.8"/>
    <n v="38000"/>
    <s v="Hydrogen"/>
    <n v="5"/>
    <n v="400"/>
  </r>
  <r>
    <x v="3"/>
    <s v="Golf"/>
    <s v="1.5L Turbo I4 / Electric"/>
    <m/>
    <n v="215"/>
    <n v="210"/>
    <n v="8.5"/>
    <n v="23000"/>
    <s v="Petrol"/>
    <n v="5"/>
    <n v="250"/>
  </r>
  <r>
    <x v="3"/>
    <s v="Polo"/>
    <s v="1.0L Turbo I3 / 1.6L Diesel"/>
    <m/>
    <n v="140"/>
    <n v="190"/>
    <n v="9.5"/>
    <n v="18000"/>
    <s v="Petrol"/>
    <n v="5"/>
    <n v="175"/>
  </r>
  <r>
    <x v="3"/>
    <s v="ID.4"/>
    <s v="Electric"/>
    <m/>
    <n v="252"/>
    <n v="160"/>
    <n v="7.8"/>
    <n v="39735"/>
    <s v="Electric"/>
    <n v="5"/>
    <n v="310"/>
  </r>
  <r>
    <x v="3"/>
    <s v="Touareg"/>
    <s v="3.0L V6 Turbo Diesel / 4.0L V8"/>
    <m/>
    <n v="366"/>
    <n v="235"/>
    <n v="5.9"/>
    <n v="55000"/>
    <s v="Petrol/Diesel"/>
    <n v="5"/>
    <n v="600"/>
  </r>
  <r>
    <x v="3"/>
    <s v="ID.3"/>
    <s v="Electric"/>
    <m/>
    <n v="204"/>
    <n v="160"/>
    <n v="7.3"/>
    <n v="35000"/>
    <s v="Electric"/>
    <n v="5"/>
    <n v="310"/>
  </r>
  <r>
    <x v="3"/>
    <s v="T-Cross"/>
    <s v="1.0L Turbo I3 / 1.5L Turbo I4"/>
    <m/>
    <n v="122"/>
    <n v="200"/>
    <n v="10.199999999999999"/>
    <n v="25000"/>
    <s v="Petrol"/>
    <n v="5"/>
    <n v="250"/>
  </r>
  <r>
    <x v="3"/>
    <s v="ID.5"/>
    <s v="Electric"/>
    <m/>
    <n v="236"/>
    <n v="180"/>
    <n v="8.4"/>
    <n v="45000"/>
    <s v="Electric"/>
    <n v="5"/>
    <n v="310"/>
  </r>
  <r>
    <x v="3"/>
    <s v="ID.4 GTX"/>
    <s v="Electric AWD"/>
    <m/>
    <n v="299"/>
    <n v="180"/>
    <n v="6.2"/>
    <n v="50000"/>
    <s v="Electric"/>
    <n v="5"/>
    <n v="460"/>
  </r>
  <r>
    <x v="3"/>
    <s v="ID.3 Pro"/>
    <s v="Electric"/>
    <m/>
    <n v="204"/>
    <n v="160"/>
    <n v="7.3"/>
    <n v="35000"/>
    <s v="Electric"/>
    <n v="5"/>
    <n v="310"/>
  </r>
  <r>
    <x v="3"/>
    <s v="Golf Variant"/>
    <s v="1.5L Turbo I4 / 2.0L Diesel I4"/>
    <m/>
    <n v="140"/>
    <n v="220"/>
    <n v="7.5"/>
    <n v="32000"/>
    <s v="Petrol"/>
    <n v="5"/>
    <n v="320"/>
  </r>
  <r>
    <x v="3"/>
    <s v="Phaeton"/>
    <s v="3.0L V6 Diesel / 6.0L W12 Gas"/>
    <m/>
    <n v="345"/>
    <n v="250"/>
    <n v="6.1"/>
    <n v="85000"/>
    <s v="Petrol"/>
    <n v="5"/>
    <n v="560"/>
  </r>
  <r>
    <x v="3"/>
    <s v="Polo Vivo"/>
    <s v="1.4L I4 Gas / 1.6L I4 Gas"/>
    <m/>
    <n v="95"/>
    <n v="170"/>
    <n v="10.8"/>
    <n v="14000"/>
    <s v="Petrol"/>
    <n v="5"/>
    <n v="132"/>
  </r>
  <r>
    <x v="3"/>
    <s v="Fox"/>
    <s v="1.2L I4 Gas / 1.4L I4 Gas"/>
    <m/>
    <n v="65"/>
    <n v="148"/>
    <n v="17.5"/>
    <n v="12000"/>
    <s v="Petrol"/>
    <n v="5"/>
    <n v="93"/>
  </r>
  <r>
    <x v="3"/>
    <s v="Golf Electric"/>
    <s v="Electric"/>
    <m/>
    <n v="136"/>
    <n v="140"/>
    <n v="10.4"/>
    <n v="33000"/>
    <s v="Electric"/>
    <n v="5"/>
    <n v="290"/>
  </r>
  <r>
    <x v="3"/>
    <s v="Bora"/>
    <s v="1.6L I4 Gas / 1.9L I4 Diesel"/>
    <m/>
    <n v="125"/>
    <n v="200"/>
    <n v="9.4"/>
    <n v="20000"/>
    <s v="Petrol"/>
    <n v="5"/>
    <n v="220"/>
  </r>
  <r>
    <x v="3"/>
    <s v="ID.2"/>
    <s v="Electric"/>
    <m/>
    <m/>
    <n v="160"/>
    <n v="8"/>
    <n v="25000"/>
    <s v="Electric"/>
    <n v="5"/>
    <n v="220"/>
  </r>
  <r>
    <x v="3"/>
    <s v="Polo TDI"/>
    <s v="1.4L I4 Diesel / 1.6L Diesel"/>
    <m/>
    <n v="90"/>
    <n v="190"/>
    <n v="9.9"/>
    <n v="20000"/>
    <s v="Diesel"/>
    <n v="5"/>
    <n v="250"/>
  </r>
  <r>
    <x v="3"/>
    <s v="Golf GTE"/>
    <s v="Plug-in Hybrid (1.4L I4 Turbo)"/>
    <m/>
    <n v="204"/>
    <n v="222"/>
    <n v="7.6"/>
    <n v="40000"/>
    <s v="Hybrid"/>
    <n v="5"/>
    <n v="350"/>
  </r>
  <r>
    <x v="3"/>
    <s v="Passat B8"/>
    <s v="1.5L I4 Turbo / 2.0L Diesel"/>
    <m/>
    <n v="215"/>
    <n v="210"/>
    <n v="8.6999999999999993"/>
    <n v="28000"/>
    <s v="Petrol"/>
    <n v="5"/>
    <n v="250"/>
  </r>
  <r>
    <x v="3"/>
    <s v="ID.4 Pro S"/>
    <s v="Electric"/>
    <m/>
    <n v="201"/>
    <n v="180"/>
    <n v="7.8"/>
    <n v="45000"/>
    <s v="Electric"/>
    <n v="5"/>
    <n v="310"/>
  </r>
  <r>
    <x v="3"/>
    <s v="T-Cross R-Line"/>
    <s v="1.0L I3 Turbo / 1.5L I4 Turbo"/>
    <m/>
    <n v="132"/>
    <n v="200"/>
    <n v="8.5"/>
    <n v="27000"/>
    <s v="Petrol"/>
    <n v="5"/>
    <n v="250"/>
  </r>
  <r>
    <x v="3"/>
    <s v="Passat B7"/>
    <s v="1.6L Diesel / 2.0L I4 Turbo"/>
    <m/>
    <n v="180"/>
    <n v="220"/>
    <n v="8.5"/>
    <n v="26000"/>
    <s v="Petrol"/>
    <n v="5"/>
    <n v="280"/>
  </r>
  <r>
    <x v="3"/>
    <s v="Passat Variant"/>
    <s v="1.5L I4 Turbo / 2.0L Diesel"/>
    <m/>
    <n v="195"/>
    <n v="220"/>
    <n v="8.5"/>
    <n v="30000"/>
    <s v="Petrol"/>
    <n v="5"/>
    <n v="280"/>
  </r>
  <r>
    <x v="3"/>
    <s v="ID.3 GTX"/>
    <s v="Electric"/>
    <m/>
    <n v="299"/>
    <n v="180"/>
    <n v="6.2"/>
    <n v="45000"/>
    <s v="Electric"/>
    <n v="5"/>
    <n v="310"/>
  </r>
  <r>
    <x v="3"/>
    <s v="Jetta SportWagen"/>
    <s v="1.4L I4 Turbo / 2.0L Diesel I4"/>
    <m/>
    <n v="148"/>
    <n v="200"/>
    <n v="8.5"/>
    <n v="27000"/>
    <s v="Petrol"/>
    <n v="5"/>
    <n v="250"/>
  </r>
  <r>
    <x v="3"/>
    <s v="Tiguan eHybrid"/>
    <s v="1.4L I4 Turbo + Electric Motor"/>
    <m/>
    <n v="245"/>
    <n v="200"/>
    <n v="7.5"/>
    <n v="42000"/>
    <s v="Hybrid"/>
    <n v="5"/>
    <n v="400"/>
  </r>
  <r>
    <x v="2"/>
    <s v="Ariya "/>
    <s v="Dual Electric Motors"/>
    <m/>
    <m/>
    <n v="200"/>
    <n v="5.0999999999999996"/>
    <n v="58950"/>
    <s v="Electric"/>
    <n v="5"/>
    <n v="600"/>
  </r>
  <r>
    <x v="2"/>
    <s v="Ariya E-4ORCE"/>
    <s v="Dual Electric Motors"/>
    <m/>
    <m/>
    <n v="200"/>
    <n v="5.0999999999999996"/>
    <n v="60000"/>
    <s v="Electric"/>
    <n v="5"/>
    <n v="600"/>
  </r>
  <r>
    <x v="2"/>
    <s v="Ariya Lounge Edition"/>
    <s v="Dual Electric Motors"/>
    <m/>
    <m/>
    <n v="200"/>
    <n v="5.0999999999999996"/>
    <n v="63000"/>
    <s v="Electric"/>
    <n v="5"/>
    <n v="600"/>
  </r>
  <r>
    <x v="2"/>
    <s v="Ariya Premiere"/>
    <s v="Dual Electric Motors"/>
    <m/>
    <m/>
    <n v="200"/>
    <n v="5.0999999999999996"/>
    <n v="67000"/>
    <s v="Electric"/>
    <n v="5"/>
    <n v="600"/>
  </r>
  <r>
    <x v="2"/>
    <s v="Ariya Empower+"/>
    <s v="Dual Electric Motors"/>
    <m/>
    <m/>
    <n v="200"/>
    <n v="5.0999999999999996"/>
    <n v="68000"/>
    <s v="Electric"/>
    <n v="5"/>
    <n v="600"/>
  </r>
  <r>
    <x v="2"/>
    <s v="Ariya Dual Motor AWD"/>
    <s v="Dual Electric Motors"/>
    <m/>
    <m/>
    <n v="200"/>
    <n v="5.0999999999999996"/>
    <n v="70000"/>
    <s v="Electric"/>
    <n v="5"/>
    <n v="600"/>
  </r>
  <r>
    <x v="25"/>
    <s v="Cayenne Turbo S E-Hybrid"/>
    <s v="4.0L V8 + Electric Motor"/>
    <m/>
    <m/>
    <n v="295"/>
    <n v="3.6"/>
    <n v="170000"/>
    <s v="Petrol/Hybrid"/>
    <n v="5"/>
    <n v="900"/>
  </r>
  <r>
    <x v="25"/>
    <s v="Taycan Cross Turismo"/>
    <s v="Dual Electric Motors"/>
    <m/>
    <n v="469"/>
    <n v="220"/>
    <n v="4.8"/>
    <n v="97700"/>
    <s v="Electric"/>
    <n v="5"/>
    <n v="500"/>
  </r>
  <r>
    <x v="25"/>
    <s v="Taycan Sport Turismo"/>
    <s v="Dual Electric Motors"/>
    <m/>
    <n v="509"/>
    <n v="240"/>
    <n v="4.0999999999999996"/>
    <n v="104000"/>
    <s v="Electric"/>
    <n v="5"/>
    <n v="650"/>
  </r>
  <r>
    <x v="25"/>
    <s v="Macan EV "/>
    <s v="Dual Electric Motors"/>
    <m/>
    <n v="603"/>
    <n v="240"/>
    <n v="4"/>
    <n v="85000"/>
    <s v="Electric"/>
    <n v="5"/>
    <n v="750"/>
  </r>
  <r>
    <x v="15"/>
    <s v="Tiago EV"/>
    <s v="Permanent Magnet Synchronous"/>
    <m/>
    <n v="74"/>
    <n v="120"/>
    <n v="5.7"/>
    <n v="11000"/>
    <s v="Electric"/>
    <n v="5"/>
    <n v="114"/>
  </r>
  <r>
    <x v="15"/>
    <s v="Altroz"/>
    <s v="1.2L Revotron Petrol / 1.5L Diesel"/>
    <m/>
    <m/>
    <n v="170"/>
    <n v="12"/>
    <n v="10400"/>
    <s v="Petrol/Diesel"/>
    <n v="5"/>
    <n v="156"/>
  </r>
  <r>
    <x v="15"/>
    <s v="Tigor EV"/>
    <s v="Permanent Magnet Synchronous"/>
    <m/>
    <n v="74"/>
    <n v="120"/>
    <n v="5.7"/>
    <n v="14500"/>
    <s v="Electric"/>
    <n v="5"/>
    <n v="114"/>
  </r>
  <r>
    <x v="15"/>
    <s v="Zest"/>
    <s v="1.3L Quadrajet Diesel / 1.2L Revotron Petrol"/>
    <m/>
    <m/>
    <n v="165"/>
    <n v="15"/>
    <n v="8700"/>
    <s v="Petrol/Diesel"/>
    <n v="5"/>
    <m/>
  </r>
  <r>
    <x v="15"/>
    <s v="Manza"/>
    <s v="1.3L Quadrajet Diesel / 1.4L Petrol"/>
    <m/>
    <m/>
    <n v="160"/>
    <n v="14"/>
    <n v="9000"/>
    <s v="Petrol/Diesel"/>
    <n v="5"/>
    <m/>
  </r>
  <r>
    <x v="15"/>
    <s v="Nexon"/>
    <s v="1.2L Turbo Petrol / 1.5L Diesel"/>
    <m/>
    <m/>
    <n v="180"/>
    <n v="10"/>
    <n v="14000"/>
    <s v="Petrol/Diesel"/>
    <n v="5"/>
    <n v="215"/>
  </r>
  <r>
    <x v="15"/>
    <s v="Nexon EV Max"/>
    <s v="Permanent Magnet Synchronous"/>
    <m/>
    <n v="143"/>
    <n v="140"/>
    <n v="9"/>
    <n v="25000"/>
    <s v="Electric"/>
    <n v="5"/>
    <n v="250"/>
  </r>
  <r>
    <x v="15"/>
    <s v="Nexon EV Prime"/>
    <s v="Permanent Magnet Synchronous"/>
    <m/>
    <n v="129"/>
    <n v="120"/>
    <n v="9.4"/>
    <n v="22000"/>
    <s v="Electric"/>
    <n v="5"/>
    <n v="245"/>
  </r>
  <r>
    <x v="19"/>
    <s v="Model S"/>
    <s v="Dual Electric Motors"/>
    <m/>
    <n v="670"/>
    <n v="250"/>
    <n v="3.1"/>
    <n v="88490"/>
    <s v="Electric"/>
    <n v="5"/>
    <n v="967"/>
  </r>
  <r>
    <x v="19"/>
    <s v="Model S Plaid"/>
    <s v="Tri Electric Motors"/>
    <m/>
    <n v="1020"/>
    <n v="322"/>
    <n v="2.1"/>
    <n v="108490"/>
    <s v="Electric"/>
    <n v="5"/>
    <n v="1400"/>
  </r>
  <r>
    <x v="19"/>
    <s v="Model 3"/>
    <s v="Single Electric Motor (RWD)"/>
    <m/>
    <n v="283"/>
    <n v="225"/>
    <n v="5.8"/>
    <n v="40240"/>
    <s v="Electric"/>
    <n v="5"/>
    <n v="420"/>
  </r>
  <r>
    <x v="19"/>
    <s v="Model 3 Performance"/>
    <s v="Dual Electric Motors (AWD)"/>
    <m/>
    <n v="450"/>
    <n v="261"/>
    <n v="3.1"/>
    <n v="53240"/>
    <s v="Electric"/>
    <n v="5"/>
    <n v="660"/>
  </r>
  <r>
    <x v="19"/>
    <s v="Model Y"/>
    <s v="Single Electric Motor (RWD)"/>
    <m/>
    <n v="346"/>
    <n v="217"/>
    <n v="5"/>
    <n v="47490"/>
    <s v="Electric"/>
    <n v="5"/>
    <n v="498"/>
  </r>
  <r>
    <x v="19"/>
    <s v="Model Y Long Range"/>
    <s v="Dual Electric Motors (AWD)"/>
    <m/>
    <n v="384"/>
    <n v="217"/>
    <n v="4.8"/>
    <n v="50490"/>
    <s v="Electric"/>
    <n v="5"/>
    <n v="559"/>
  </r>
  <r>
    <x v="4"/>
    <s v="Grand Cherokee 4xe"/>
    <s v="2.0L Turbo PHEV"/>
    <m/>
    <n v="375"/>
    <n v="210"/>
    <n v="6"/>
    <n v="59865"/>
    <s v="Hybrid"/>
    <n v="5"/>
    <n v="637"/>
  </r>
  <r>
    <x v="4"/>
    <s v="Wrangler 4xe"/>
    <s v="2.0L Turbo PHEV"/>
    <m/>
    <n v="375"/>
    <n v="180"/>
    <n v="6.4"/>
    <n v="50695"/>
    <s v="Hybrid"/>
    <n v="5"/>
    <n v="637"/>
  </r>
  <r>
    <x v="4"/>
    <s v="Compass 4xe"/>
    <s v="1.3L Turbo PHEV"/>
    <m/>
    <n v="240"/>
    <n v="200"/>
    <n v="7.3"/>
    <n v="46500"/>
    <s v="Hybrid"/>
    <n v="5"/>
    <n v="270"/>
  </r>
  <r>
    <x v="4"/>
    <s v="Renegade 4xe"/>
    <s v="1.3L Turbo PHEV"/>
    <m/>
    <n v="240"/>
    <n v="200"/>
    <n v="7.5"/>
    <n v="44500"/>
    <s v="Hybrid"/>
    <n v="5"/>
    <n v="270"/>
  </r>
  <r>
    <x v="4"/>
    <s v="Wagoneer S (Electric)"/>
    <s v="Dual Electric Motors"/>
    <m/>
    <n v="600"/>
    <n v="177"/>
    <n v="4.5"/>
    <n v="80000"/>
    <s v="Electric"/>
    <n v="5"/>
    <n v="850"/>
  </r>
  <r>
    <x v="9"/>
    <s v="Lyriq EV"/>
    <s v="Single Electric Motor"/>
    <m/>
    <n v="340"/>
    <n v="190"/>
    <n v="5.7"/>
    <n v="58590"/>
    <s v="Electric"/>
    <n v="5"/>
    <n v="440"/>
  </r>
  <r>
    <x v="9"/>
    <s v="Lyriq Launch Edition"/>
    <s v="Single Electric Motor"/>
    <m/>
    <n v="340"/>
    <n v="190"/>
    <n v="5.7"/>
    <n v="59990"/>
    <s v="Electric"/>
    <n v="5"/>
    <n v="440"/>
  </r>
  <r>
    <x v="9"/>
    <s v="Lyriq EV Premium"/>
    <s v="Dual Electric Motors"/>
    <m/>
    <n v="500"/>
    <n v="210"/>
    <n v="4.5"/>
    <n v="64990"/>
    <s v="Electric"/>
    <n v="5"/>
    <n v="620"/>
  </r>
  <r>
    <x v="5"/>
    <s v="Bolt EV"/>
    <s v="Single Electric Motor"/>
    <m/>
    <n v="200"/>
    <n v="150"/>
    <n v="6.5"/>
    <n v="27495"/>
    <s v="Electric"/>
    <n v="5"/>
    <n v="360"/>
  </r>
  <r>
    <x v="5"/>
    <s v="Bolt EUV"/>
    <s v="Single Electric Motor"/>
    <m/>
    <n v="200"/>
    <n v="150"/>
    <n v="7"/>
    <n v="28795"/>
    <s v="Electric"/>
    <n v="5"/>
    <n v="360"/>
  </r>
  <r>
    <x v="5"/>
    <s v="Bolt EV 2LT"/>
    <s v="Single Electric Motor"/>
    <m/>
    <n v="200"/>
    <n v="150"/>
    <n v="6.7"/>
    <n v="28795"/>
    <s v="Electric"/>
    <n v="5"/>
    <n v="360"/>
  </r>
  <r>
    <x v="5"/>
    <s v="Bolt EV Premier"/>
    <s v="Single Electric Motor"/>
    <m/>
    <n v="200"/>
    <n v="150"/>
    <n v="6.5"/>
    <n v="31700"/>
    <s v="Electric"/>
    <n v="5"/>
    <n v="360"/>
  </r>
  <r>
    <x v="6"/>
    <s v="Hummer EV Pickup"/>
    <s v="Dual-Motor Electric"/>
    <m/>
    <n v="625"/>
    <n v="170"/>
    <n v="3"/>
    <n v="108700"/>
    <s v="Electric"/>
    <n v="5"/>
    <n v="1000"/>
  </r>
  <r>
    <x v="6"/>
    <s v="Hummer EV SUV"/>
    <s v="Dual-Motor Electric"/>
    <m/>
    <n v="625"/>
    <n v="170"/>
    <n v="3.5"/>
    <n v="105600"/>
    <s v="Electric"/>
    <n v="5"/>
    <n v="1000"/>
  </r>
  <r>
    <x v="6"/>
    <s v="Hummer EV SUV Edition 1"/>
    <s v="Electric motors with up to 11,500 lb-ft torque"/>
    <m/>
    <m/>
    <n v="170"/>
    <n v="3.5"/>
    <n v="96550"/>
    <s v="Electric"/>
    <n v="5"/>
    <n v="15590"/>
  </r>
  <r>
    <x v="6"/>
    <s v="Hummer EV Pickup Edition 1"/>
    <s v="Electric motors with up to 11,500 lb-ft torque"/>
    <m/>
    <m/>
    <n v="170"/>
    <n v="3"/>
    <n v="96550"/>
    <s v="Electric"/>
    <n v="5"/>
    <n v="15590"/>
  </r>
  <r>
    <x v="6"/>
    <s v="Hummer EV SUV Extreme Off-Road"/>
    <s v="Electric motors with up to 11,500 lb-ft torque"/>
    <m/>
    <m/>
    <n v="170"/>
    <n v="3.6"/>
    <n v="110000"/>
    <s v="Electric"/>
    <n v="5"/>
    <n v="15590"/>
  </r>
  <r>
    <x v="6"/>
    <s v="Sierra EV Denali"/>
    <s v="Electric motors with advanced AWD"/>
    <m/>
    <m/>
    <n v="170"/>
    <n v="4.5"/>
    <n v="108700"/>
    <s v="Electric"/>
    <n v="5"/>
    <n v="1064"/>
  </r>
  <r>
    <x v="6"/>
    <s v="Hummer EV Omega Edition"/>
    <s v="Electric motors with up to 11,500 lb-ft torque"/>
    <m/>
    <m/>
    <n v="170"/>
    <n v="3"/>
    <n v="112700"/>
    <s v="Electric"/>
    <n v="5"/>
    <n v="15590"/>
  </r>
  <r>
    <x v="6"/>
    <s v="Hummer EV Adventure Series"/>
    <s v="Electric motors with up to 11,500 lb-ft torque"/>
    <m/>
    <m/>
    <n v="170"/>
    <n v="3.6"/>
    <n v="105000"/>
    <s v="Electric"/>
    <n v="5"/>
    <n v="15590"/>
  </r>
  <r>
    <x v="17"/>
    <s v="508 PSE (Peugeot Sport Engineered)"/>
    <s v="Hybrid I4 + Electric Motor"/>
    <m/>
    <n v="360"/>
    <n v="250"/>
    <n v="5.2"/>
    <n v="55000"/>
    <s v="Hybrid"/>
    <n v="5"/>
    <n v="520"/>
  </r>
  <r>
    <x v="7"/>
    <s v="EV6 Wind"/>
    <s v="Electric Motor"/>
    <m/>
    <n v="225"/>
    <n v="190"/>
    <n v="5.2"/>
    <n v="50000"/>
    <s v="Electric"/>
    <n v="5"/>
    <n v="350"/>
  </r>
  <r>
    <x v="17"/>
    <s v="508 Plug-In Hybrid"/>
    <s v="Hybrid I4 + Electric Motor"/>
    <m/>
    <n v="225"/>
    <n v="210"/>
    <n v="7.5"/>
    <n v="44000"/>
    <s v="Hybrid"/>
    <n v="5"/>
    <n v="360"/>
  </r>
  <r>
    <x v="7"/>
    <s v="EV6 First Edition"/>
    <s v="Electric Motor"/>
    <m/>
    <n v="320"/>
    <n v="230"/>
    <n v="5"/>
    <n v="58000"/>
    <s v="Electric"/>
    <n v="5"/>
    <n v="450"/>
  </r>
  <r>
    <x v="17"/>
    <s v="3008 Plug-In Hybrid"/>
    <s v="Hybrid I4 + Electric Motor"/>
    <m/>
    <n v="225"/>
    <n v="210"/>
    <n v="7"/>
    <n v="42000"/>
    <s v="Hybrid"/>
    <n v="5"/>
    <n v="360"/>
  </r>
  <r>
    <x v="7"/>
    <s v="EV6 Light"/>
    <s v="Electric Motor"/>
    <m/>
    <n v="225"/>
    <n v="190"/>
    <n v="5.2"/>
    <n v="46000"/>
    <s v="Electric"/>
    <n v="5"/>
    <n v="350"/>
  </r>
  <r>
    <x v="17"/>
    <s v="508 Hybrid4"/>
    <s v="Hybrid I4 + Electric Motor"/>
    <m/>
    <n v="300"/>
    <n v="235"/>
    <n v="6"/>
    <n v="47000"/>
    <s v="Hybrid"/>
    <n v="5"/>
    <n v="520"/>
  </r>
  <r>
    <x v="7"/>
    <s v="EV6 GT Performance"/>
    <s v="Electric Motor"/>
    <m/>
    <n v="577"/>
    <n v="260"/>
    <n v="3.5"/>
    <n v="65000"/>
    <s v="Electric"/>
    <n v="5"/>
    <n v="740"/>
  </r>
  <r>
    <x v="17"/>
    <s v="3008 Hybrid4"/>
    <s v="Hybrid I4+ Electric Motor"/>
    <m/>
    <n v="300"/>
    <n v="235"/>
    <n v="6"/>
    <n v="45000"/>
    <s v="Hybrid"/>
    <n v="5"/>
    <n v="520"/>
  </r>
  <r>
    <x v="7"/>
    <s v="EV6 AWD GT-Line"/>
    <s v="Electric Motor"/>
    <m/>
    <n v="320"/>
    <n v="230"/>
    <n v="5"/>
    <n v="60000"/>
    <s v="Electric"/>
    <n v="5"/>
    <n v="450"/>
  </r>
  <r>
    <x v="17"/>
    <s v="e-2008 GT"/>
    <s v="Electric Motor"/>
    <m/>
    <n v="136"/>
    <n v="200"/>
    <n v="8.5"/>
    <n v="40000"/>
    <s v="Electric"/>
    <n v="5"/>
    <n v="260"/>
  </r>
  <r>
    <x v="7"/>
    <s v="EV6 First Edition AWD"/>
    <s v="Electric Motor"/>
    <m/>
    <n v="320"/>
    <n v="230"/>
    <n v="5"/>
    <n v="62000"/>
    <s v="Electric"/>
    <n v="5"/>
    <n v="450"/>
  </r>
  <r>
    <x v="27"/>
    <s v="Jaguar XE"/>
    <s v="I4 Petrol"/>
    <m/>
    <n v="250"/>
    <n v="250"/>
    <n v="6.5"/>
    <n v="45000"/>
    <s v="Petrol"/>
    <n v="5"/>
    <n v="365"/>
  </r>
  <r>
    <x v="27"/>
    <s v="Jaguar XF"/>
    <s v="I4 Petrol"/>
    <m/>
    <n v="250"/>
    <n v="250"/>
    <n v="6.5"/>
    <n v="50000"/>
    <s v="Petrol"/>
    <n v="5"/>
    <n v="365"/>
  </r>
  <r>
    <x v="27"/>
    <s v="Jaguar XJ"/>
    <s v="V6 Petrol"/>
    <m/>
    <n v="300"/>
    <n v="250"/>
    <n v="6"/>
    <n v="85000"/>
    <s v="Petrol"/>
    <n v="5"/>
    <n v="400"/>
  </r>
  <r>
    <x v="27"/>
    <s v="Jaguar E-PACE"/>
    <s v="I4 Petrol"/>
    <m/>
    <n v="200"/>
    <n v="230"/>
    <n v="7"/>
    <n v="50000"/>
    <s v="Petrol"/>
    <n v="5"/>
    <n v="430"/>
  </r>
  <r>
    <x v="27"/>
    <s v="Jaguar I-PACE"/>
    <s v="Electric (Dual Motor)"/>
    <m/>
    <n v="400"/>
    <n v="200"/>
    <n v="4.8"/>
    <n v="70000"/>
    <s v="Electric"/>
    <n v="5"/>
    <n v="696"/>
  </r>
  <r>
    <x v="27"/>
    <s v="Jaguar F-PACE"/>
    <s v="I4 Petrol / V6 Petrol"/>
    <m/>
    <m/>
    <n v="230"/>
    <m/>
    <m/>
    <s v="Petrol"/>
    <n v="5"/>
    <m/>
  </r>
  <r>
    <x v="27"/>
    <s v="Jaguar X-TYPE"/>
    <s v="I4 Petrol"/>
    <m/>
    <n v="160"/>
    <n v="215"/>
    <n v="9"/>
    <n v="40000"/>
    <s v="Petrol"/>
    <n v="5"/>
    <n v="215"/>
  </r>
  <r>
    <x v="27"/>
    <s v="Jaguar F-PACE R-Dynamic"/>
    <s v="I4 Petrol / V6 Petrol"/>
    <m/>
    <n v="340"/>
    <n v="250"/>
    <n v="5.4"/>
    <n v="65000"/>
    <s v="Petrol"/>
    <n v="5"/>
    <n v="480"/>
  </r>
  <r>
    <x v="27"/>
    <s v="Jaguar XE R-Dynamic"/>
    <s v="I4 Petrol"/>
    <m/>
    <n v="340"/>
    <n v="250"/>
    <n v="5.4"/>
    <n v="60000"/>
    <s v="Petrol"/>
    <n v="5"/>
    <n v="450"/>
  </r>
  <r>
    <x v="27"/>
    <s v="Jaguar I-PACE Electric Performance"/>
    <s v="Electric (Dual Motor)"/>
    <m/>
    <n v="400"/>
    <n v="200"/>
    <n v="4.5"/>
    <n v="85000"/>
    <s v="Electric"/>
    <n v="5"/>
    <n v="696"/>
  </r>
  <r>
    <x v="27"/>
    <s v="Jaguar F-PACE SVR"/>
    <s v="V8 Petrol"/>
    <m/>
    <n v="550"/>
    <n v="283"/>
    <n v="4"/>
    <n v="85000"/>
    <s v="Petrol"/>
    <n v="5"/>
    <n v="700"/>
  </r>
  <r>
    <x v="27"/>
    <s v="Jaguar XE S"/>
    <s v="I4 Petrol"/>
    <m/>
    <n v="340"/>
    <n v="250"/>
    <n v="5.3"/>
    <n v="55000"/>
    <s v="Petrol"/>
    <n v="5"/>
    <n v="450"/>
  </r>
  <r>
    <x v="27"/>
    <s v="Jaguar XF R-Dynamic"/>
    <s v="I4 Petrol / V6 Petrol"/>
    <m/>
    <n v="340"/>
    <n v="250"/>
    <n v="5.4"/>
    <n v="65000"/>
    <s v="Petrol"/>
    <n v="5"/>
    <n v="480"/>
  </r>
  <r>
    <x v="27"/>
    <s v="Jaguar XJ LWB (Long Wheelbase)"/>
    <s v="V6 Petrol"/>
    <m/>
    <n v="300"/>
    <n v="250"/>
    <n v="6"/>
    <n v="90000"/>
    <s v="Petrol"/>
    <n v="5"/>
    <n v="400"/>
  </r>
  <r>
    <x v="27"/>
    <s v="Jaguar E-PACE S"/>
    <s v="I4 Petrol"/>
    <m/>
    <n v="200"/>
    <n v="230"/>
    <n v="7"/>
    <n v="50000"/>
    <s v="Petrol"/>
    <n v="5"/>
    <n v="430"/>
  </r>
  <r>
    <x v="27"/>
    <s v="Jaguar I-PACE HSE"/>
    <s v="Electric (Dual Motor)"/>
    <m/>
    <n v="400"/>
    <n v="200"/>
    <n v="4.5"/>
    <n v="90000"/>
    <s v="Electric"/>
    <n v="5"/>
    <n v="696"/>
  </r>
  <r>
    <x v="27"/>
    <s v="Jaguar XE P300 R-Dynamic"/>
    <s v="I4 Petrol"/>
    <m/>
    <n v="300"/>
    <n v="250"/>
    <n v="5.5"/>
    <n v="55000"/>
    <s v="Petrol"/>
    <n v="5"/>
    <n v="400"/>
  </r>
  <r>
    <x v="27"/>
    <s v="Jaguar XF Sportbrake"/>
    <s v="I4 Petrol / V6 Petrol"/>
    <m/>
    <n v="250"/>
    <n v="250"/>
    <n v="6.5"/>
    <n v="60000"/>
    <s v="Petrol"/>
    <n v="5"/>
    <n v="400"/>
  </r>
  <r>
    <x v="27"/>
    <s v="Jaguar I-PACE EV400 HSE"/>
    <s v="Electric (Dual Motor)"/>
    <m/>
    <n v="400"/>
    <n v="200"/>
    <n v="4.5"/>
    <n v="85000"/>
    <s v="Electric"/>
    <n v="5"/>
    <n v="696"/>
  </r>
  <r>
    <x v="27"/>
    <s v="Jaguar F-PACE S 30t AWD"/>
    <s v="I4 Petrol"/>
    <m/>
    <n v="247"/>
    <n v="225"/>
    <n v="6.4"/>
    <n v="60000"/>
    <s v="Petrol"/>
    <n v="5"/>
    <n v="365"/>
  </r>
  <r>
    <x v="27"/>
    <s v="Jaguar E-PACE R-Dynamic"/>
    <s v="I4 Petrol"/>
    <m/>
    <n v="246"/>
    <n v="230"/>
    <n v="6.8"/>
    <n v="55000"/>
    <s v="Petrol"/>
    <n v="5"/>
    <n v="430"/>
  </r>
  <r>
    <x v="27"/>
    <s v="Jaguar XJ50"/>
    <s v="V6 Petrol"/>
    <m/>
    <n v="300"/>
    <n v="250"/>
    <n v="6"/>
    <n v="80000"/>
    <s v="Petrol"/>
    <n v="5"/>
    <n v="400"/>
  </r>
  <r>
    <x v="27"/>
    <s v="Jaguar F-PACE S AWD"/>
    <s v="I4 Petrol / V6 Petrol"/>
    <m/>
    <n v="340"/>
    <n v="250"/>
    <n v="5.4"/>
    <n v="65000"/>
    <s v="Petrol"/>
    <n v="5"/>
    <n v="480"/>
  </r>
  <r>
    <x v="27"/>
    <s v="Jaguar XE SE"/>
    <s v="I4 Petrol"/>
    <m/>
    <n v="250"/>
    <n v="240"/>
    <n v="6.2"/>
    <n v="50000"/>
    <s v="Petrol"/>
    <n v="5"/>
    <n v="365"/>
  </r>
  <r>
    <x v="27"/>
    <s v="Jaguar XE R-Sport AWD"/>
    <s v="I4 Petrol / V6 Petrol"/>
    <m/>
    <n v="300"/>
    <n v="250"/>
    <n v="5.5"/>
    <n v="55000"/>
    <s v="Petrol"/>
    <n v="5"/>
    <n v="400"/>
  </r>
  <r>
    <x v="27"/>
    <s v="Jaguar XF Portfolio AWD"/>
    <s v="I4 Petrol / V6 Petrol"/>
    <m/>
    <n v="340"/>
    <n v="250"/>
    <n v="5.4"/>
    <n v="60000"/>
    <s v="Petrol"/>
    <n v="5"/>
    <n v="450"/>
  </r>
  <r>
    <x v="27"/>
    <s v="Jaguar I-PACE First Edition"/>
    <s v="Electric (Dual Motor)"/>
    <m/>
    <n v="400"/>
    <n v="200"/>
    <n v="4.5"/>
    <n v="85000"/>
    <s v="Electric"/>
    <n v="5"/>
    <n v="696"/>
  </r>
  <r>
    <x v="27"/>
    <s v="Jaguar F-PACE Prestige AWD"/>
    <s v="I4 Petrol / V6 Petrol"/>
    <m/>
    <n v="340"/>
    <n v="250"/>
    <n v="5.4"/>
    <n v="65000"/>
    <s v="Petrol"/>
    <n v="5"/>
    <n v="480"/>
  </r>
  <r>
    <x v="27"/>
    <s v="Jaguar XJ Supercharged"/>
    <s v="V8 Petrol"/>
    <m/>
    <n v="510"/>
    <n v="280"/>
    <n v="4.2"/>
    <n v="90000"/>
    <s v="Petrol"/>
    <n v="5"/>
    <n v="625"/>
  </r>
  <r>
    <x v="27"/>
    <s v="Jaguar F-PACE P400e Plug-in Hybrid"/>
    <s v="I4 Petrol + Electric Motor"/>
    <m/>
    <n v="398"/>
    <n v="220"/>
    <n v="5.0999999999999996"/>
    <n v="75000"/>
    <s v="Plug-in Hybrid"/>
    <n v="5"/>
    <n v="640"/>
  </r>
  <r>
    <x v="11"/>
    <s v="TLX PMC Edition"/>
    <s v="V6"/>
    <m/>
    <n v="290"/>
    <n v="250"/>
    <n v="5.7"/>
    <n v="62000"/>
    <s v="Petrol"/>
    <n v="5"/>
    <n v="362"/>
  </r>
  <r>
    <x v="11"/>
    <s v="RDX Technology"/>
    <s v="I4 Turbocharged"/>
    <m/>
    <n v="272"/>
    <n v="210"/>
    <n v="6.6"/>
    <n v="45000"/>
    <s v="Petrol"/>
    <n v="5"/>
    <n v="400"/>
  </r>
  <r>
    <x v="11"/>
    <s v="ILX Premium"/>
    <s v="I4"/>
    <m/>
    <n v="201"/>
    <n v="200"/>
    <n v="6.6"/>
    <n v="30000"/>
    <s v="Petrol"/>
    <n v="5"/>
    <n v="180"/>
  </r>
  <r>
    <x v="11"/>
    <s v="TLX A-Spec"/>
    <s v="V6"/>
    <m/>
    <n v="290"/>
    <n v="250"/>
    <n v="5.7"/>
    <n v="50000"/>
    <s v="Petrol"/>
    <n v="5"/>
    <n v="362"/>
  </r>
  <r>
    <x v="11"/>
    <s v="RDX SH-AWD"/>
    <s v="I4 Turbocharged"/>
    <m/>
    <n v="272"/>
    <n v="210"/>
    <n v="6.6"/>
    <n v="50000"/>
    <s v="Petrol"/>
    <n v="5"/>
    <n v="400"/>
  </r>
  <r>
    <x v="11"/>
    <s v="RDX Platinum Elite"/>
    <s v="I4 Turbocharged"/>
    <m/>
    <n v="272"/>
    <n v="210"/>
    <n v="6.6"/>
    <n v="55000"/>
    <s v="Petrol"/>
    <n v="5"/>
    <n v="400"/>
  </r>
  <r>
    <x v="11"/>
    <s v="TLX A-Spec Sedan"/>
    <s v="V6"/>
    <m/>
    <n v="290"/>
    <n v="250"/>
    <n v="5.7"/>
    <n v="50000"/>
    <s v="Petrol"/>
    <n v="5"/>
    <n v="362"/>
  </r>
  <r>
    <x v="17"/>
    <s v="e-208"/>
    <s v="Electric Motor"/>
    <m/>
    <n v="136"/>
    <n v="150"/>
    <n v="8.1"/>
    <n v="35000"/>
    <s v="Electric"/>
    <n v="5"/>
    <n v="260"/>
  </r>
  <r>
    <x v="17"/>
    <s v="e-2008"/>
    <s v="Electric Motor"/>
    <m/>
    <n v="136"/>
    <n v="150"/>
    <n v="8.5"/>
    <n v="38000"/>
    <s v="Electric"/>
    <n v="5"/>
    <n v="260"/>
  </r>
  <r>
    <x v="17"/>
    <s v="3008 GT Hybrid"/>
    <s v="Hybrid I4"/>
    <m/>
    <n v="300"/>
    <n v="235"/>
    <n v="6"/>
    <n v="45000"/>
    <s v="Hybrid"/>
    <n v="5"/>
    <n v="400"/>
  </r>
  <r>
    <x v="17"/>
    <s v="Partner Electric"/>
    <s v="Electric Motor"/>
    <m/>
    <n v="136"/>
    <n v="130"/>
    <n v="9"/>
    <n v="40000"/>
    <s v="Electric"/>
    <n v="5"/>
    <n v="260"/>
  </r>
  <r>
    <x v="17"/>
    <s v="Expert Electric"/>
    <s v="Electric Motor"/>
    <m/>
    <n v="136"/>
    <n v="130"/>
    <n v="9.5"/>
    <n v="45000"/>
    <s v="Electric"/>
    <n v="5"/>
    <n v="260"/>
  </r>
  <r>
    <x v="17"/>
    <s v="208 PSE (Peugeot Sport Engineered)"/>
    <s v="Hybrid I4"/>
    <m/>
    <n v="225"/>
    <n v="250"/>
    <n v="5.5"/>
    <n v="45000"/>
    <s v="Hybrid"/>
    <n v="5"/>
    <n v="360"/>
  </r>
  <r>
    <x v="17"/>
    <s v="308 PSE"/>
    <s v="Hybrid I4"/>
    <m/>
    <n v="360"/>
    <n v="250"/>
    <n v="5"/>
    <n v="55000"/>
    <s v="Hybrid"/>
    <n v="5"/>
    <n v="520"/>
  </r>
  <r>
    <x v="17"/>
    <s v="508 PSE"/>
    <s v="Hybrid I4"/>
    <m/>
    <n v="360"/>
    <n v="250"/>
    <n v="5.2"/>
    <n v="60000"/>
    <s v="Hybrid"/>
    <n v="5"/>
    <n v="520"/>
  </r>
  <r>
    <x v="17"/>
    <s v="3008 PSE"/>
    <s v="Hybrid I4"/>
    <m/>
    <n v="300"/>
    <n v="235"/>
    <n v="6"/>
    <n v="50000"/>
    <s v="Hybrid"/>
    <n v="5"/>
    <n v="400"/>
  </r>
  <r>
    <x v="1"/>
    <s v="Fusion (Mondeo)"/>
    <s v="1.5L EcoBoost / 2.0L Hybrid"/>
    <m/>
    <n v="205"/>
    <n v="220"/>
    <n v="7.5"/>
    <n v="32500"/>
    <s v="Petrol/Hybrid"/>
    <n v="5"/>
    <n v="300"/>
  </r>
  <r>
    <x v="1"/>
    <s v="Taurus"/>
    <s v="3.5L V6 / 2.0L EcoBoost"/>
    <m/>
    <n v="282"/>
    <n v="220"/>
    <n v="6.5"/>
    <n v="37500"/>
    <s v="Petrol"/>
    <n v="5"/>
    <n v="400"/>
  </r>
  <r>
    <x v="1"/>
    <s v="Fiesta"/>
    <s v="1.0L EcoBoost / 1.5L"/>
    <m/>
    <n v="142"/>
    <n v="200"/>
    <n v="7"/>
    <n v="20000"/>
    <s v="Petrol"/>
    <n v="5"/>
    <n v="210"/>
  </r>
  <r>
    <x v="1"/>
    <s v="Focus"/>
    <s v="1.0L EcoBoost / 1.5L / 2.0L"/>
    <m/>
    <n v="210"/>
    <n v="220"/>
    <n v="6.5"/>
    <n v="25000"/>
    <s v="Petrol"/>
    <n v="5"/>
    <n v="275"/>
  </r>
  <r>
    <x v="1"/>
    <s v="EcoSport"/>
    <s v="1.0L Turbo Inline-3 / 2.0L"/>
    <m/>
    <n v="144"/>
    <n v="180"/>
    <n v="9"/>
    <n v="22500"/>
    <s v="Petrol"/>
    <n v="5"/>
    <n v="185"/>
  </r>
  <r>
    <x v="1"/>
    <s v="Escape (Kuga)"/>
    <s v="1.5L EcoBoost / 2.5L Hybrid"/>
    <m/>
    <n v="190"/>
    <n v="190"/>
    <n v="7.5"/>
    <n v="31500"/>
    <s v="Petrol/Hybrid"/>
    <n v="5"/>
    <n v="215"/>
  </r>
  <r>
    <x v="1"/>
    <s v="Edge"/>
    <s v="2.0L EcoBoost / 2.7L V6"/>
    <m/>
    <n v="292"/>
    <n v="200"/>
    <n v="6.5"/>
    <n v="40000"/>
    <s v="Petrol"/>
    <n v="5"/>
    <n v="438"/>
  </r>
  <r>
    <x v="1"/>
    <s v="Bronco Sport"/>
    <s v="1.5L EcoBoost / 2.0L EcoBoost"/>
    <m/>
    <n v="216"/>
    <n v="185"/>
    <n v="7"/>
    <n v="32000"/>
    <s v="Petrol"/>
    <n v="5"/>
    <n v="312"/>
  </r>
  <r>
    <x v="1"/>
    <s v="F-150"/>
    <s v="3.3L V6 / 5.0L V8 / 3.5L EcoBoost"/>
    <m/>
    <n v="370"/>
    <n v="200"/>
    <m/>
    <n v="55000"/>
    <s v="Petrol/Diesel"/>
    <n v="5"/>
    <n v="550"/>
  </r>
  <r>
    <x v="1"/>
    <s v="F-250 Super Duty"/>
    <s v="6.2L V8 / 7.3L V8 / 6.7L Turbo-Diesel"/>
    <m/>
    <n v="430"/>
    <n v="180"/>
    <m/>
    <n v="55000"/>
    <s v="Petrol/Diesel"/>
    <n v="5"/>
    <n v="875"/>
  </r>
  <r>
    <x v="1"/>
    <s v="F-350 Super Duty"/>
    <s v="6.7L Turbo-Diesel / 7.3L V8"/>
    <m/>
    <n v="462"/>
    <n v="180"/>
    <m/>
    <n v="60000"/>
    <s v="Diesel"/>
    <n v="5"/>
    <n v="1125"/>
  </r>
  <r>
    <x v="1"/>
    <s v="Maverick"/>
    <s v="2.5L Hybrid / 2.0L EcoBoost"/>
    <m/>
    <n v="220"/>
    <n v="180"/>
    <m/>
    <n v="26000"/>
    <s v="Petrol/Hybrid"/>
    <n v="5"/>
    <n v="315"/>
  </r>
  <r>
    <x v="1"/>
    <s v="Ranger"/>
    <s v="2.3L Turbo Inline-4 / 2.7L V6"/>
    <m/>
    <n v="298"/>
    <n v="180"/>
    <m/>
    <n v="35000"/>
    <s v="Petrol/Diesel"/>
    <n v="5"/>
    <n v="470"/>
  </r>
  <r>
    <x v="1"/>
    <s v="Mustang Mach-E"/>
    <s v="Electric Motor"/>
    <m/>
    <n v="385"/>
    <n v="180"/>
    <m/>
    <n v="52000"/>
    <s v="Electric"/>
    <n v="5"/>
    <m/>
  </r>
  <r>
    <x v="1"/>
    <s v="F-150 Lightning"/>
    <s v="Electric Motor"/>
    <m/>
    <n v="452"/>
    <n v="180"/>
    <n v="4.5"/>
    <n v="65000"/>
    <s v="Electric"/>
    <n v="5"/>
    <n v="1051"/>
  </r>
  <r>
    <x v="1"/>
    <s v="Maverick Hybrid"/>
    <s v="I4 Hybrid"/>
    <m/>
    <n v="191"/>
    <n v="180"/>
    <n v="7.8"/>
    <n v="25000"/>
    <s v="Hybrid"/>
    <n v="5"/>
    <n v="210"/>
  </r>
  <r>
    <x v="1"/>
    <s v="Escape Plug-in Hybrid (2024)"/>
    <s v="I4 Hybrid"/>
    <m/>
    <n v="221"/>
    <n v="190"/>
    <n v="7.5"/>
    <n v="38000"/>
    <s v="Hybrid"/>
    <n v="5"/>
    <n v="210"/>
  </r>
  <r>
    <x v="13"/>
    <s v="Outlander PHEV"/>
    <s v="2.4L Hybrid"/>
    <m/>
    <n v="248"/>
    <n v="170"/>
    <n v="10.5"/>
    <n v="41000"/>
    <s v="Hybrid"/>
    <n v="5"/>
    <n v="300"/>
  </r>
  <r>
    <x v="13"/>
    <s v="Colt"/>
    <s v="1.1L / 1.5L MIVEC"/>
    <m/>
    <n v="112"/>
    <n v="180"/>
    <m/>
    <n v="17500"/>
    <s v="Petrol"/>
    <n v="5"/>
    <n v="140"/>
  </r>
  <r>
    <x v="13"/>
    <s v="Lancer EX"/>
    <s v="1.6L MIVEC / 2.0L"/>
    <m/>
    <n v="132"/>
    <n v="200"/>
    <n v="10"/>
    <n v="22500"/>
    <s v="Petrol"/>
    <n v="5"/>
    <n v="176"/>
  </r>
  <r>
    <x v="12"/>
    <s v="MX-30 Electric"/>
    <s v="Electric Motor"/>
    <m/>
    <n v="143"/>
    <n v="140"/>
    <n v="9.6999999999999993"/>
    <n v="35000"/>
    <s v="Electric"/>
    <n v="5"/>
    <n v="271"/>
  </r>
  <r>
    <x v="0"/>
    <s v="Corolla Cross"/>
    <s v="2.0L Gas / 2.0L Hybrid"/>
    <m/>
    <m/>
    <n v="190"/>
    <m/>
    <m/>
    <s v="Petrol/Hybrid"/>
    <n v="5"/>
    <m/>
  </r>
  <r>
    <x v="0"/>
    <s v="C-HR+ "/>
    <s v="1.8L / 2.0L Hybrid"/>
    <m/>
    <m/>
    <n v="180"/>
    <m/>
    <m/>
    <s v="Hybrid"/>
    <n v="5"/>
    <m/>
  </r>
  <r>
    <x v="0"/>
    <s v="RAV4 (6th Gen)"/>
    <s v="2.5L Hybrid / Plug-in Hybrid"/>
    <m/>
    <m/>
    <n v="200"/>
    <m/>
    <m/>
    <s v="Plug-in Hybrid"/>
    <n v="5"/>
    <m/>
  </r>
  <r>
    <x v="20"/>
    <s v="PHANTOM COUPE"/>
    <s v="V12"/>
    <n v="6749"/>
    <n v="563"/>
    <n v="250"/>
    <n v="5.3"/>
    <n v="450000"/>
    <s v="Petrol"/>
    <n v="4"/>
    <n v="870"/>
  </r>
  <r>
    <x v="20"/>
    <s v="WRAITH"/>
    <s v="V12"/>
    <n v="6592"/>
    <n v="624"/>
    <n v="250"/>
    <n v="4.4000000000000004"/>
    <n v="330000"/>
    <s v="Petrol"/>
    <n v="4"/>
    <n v="870"/>
  </r>
  <r>
    <x v="20"/>
    <s v="DAWN"/>
    <s v="V12"/>
    <n v="6592"/>
    <n v="624"/>
    <n v="250"/>
    <n v="4.9000000000000004"/>
    <n v="360000"/>
    <s v="Petrol"/>
    <n v="4"/>
    <n v="870"/>
  </r>
  <r>
    <x v="20"/>
    <s v="WRAITH BLACK BADGE"/>
    <s v="V12"/>
    <n v="6592"/>
    <n v="624"/>
    <n v="250"/>
    <n v="4.3"/>
    <n v="360000"/>
    <s v="Petrol"/>
    <n v="4"/>
    <n v="870"/>
  </r>
  <r>
    <x v="20"/>
    <s v="DAWN BLACK BADGE"/>
    <s v="V12"/>
    <n v="6592"/>
    <n v="624"/>
    <n v="250"/>
    <n v="4.8"/>
    <n v="390000"/>
    <s v="Petrol"/>
    <n v="4"/>
    <n v="870"/>
  </r>
  <r>
    <x v="20"/>
    <s v="GHOST COUPE"/>
    <s v="V12"/>
    <n v="6592"/>
    <n v="591"/>
    <n v="250"/>
    <n v="4.8"/>
    <n v="340000"/>
    <s v="Petrol"/>
    <n v="4"/>
    <n v="850"/>
  </r>
  <r>
    <x v="20"/>
    <s v="WRAITH COUPE"/>
    <s v="V12"/>
    <n v="6592"/>
    <n v="624"/>
    <n v="250"/>
    <n v="4.4000000000000004"/>
    <n v="330000"/>
    <s v="Petrol"/>
    <n v="4"/>
    <n v="870"/>
  </r>
  <r>
    <x v="20"/>
    <s v="DAWN CONVERTIBLE"/>
    <s v="V12"/>
    <n v="6592"/>
    <n v="624"/>
    <n v="250"/>
    <n v="4.9000000000000004"/>
    <n v="380000"/>
    <s v="Petrol"/>
    <n v="4"/>
    <n v="870"/>
  </r>
  <r>
    <x v="20"/>
    <s v="DAWN BLACK BADGE VOLANTE"/>
    <s v="V12"/>
    <n v="6592"/>
    <n v="563"/>
    <n v="250"/>
    <n v="4.8"/>
    <n v="398000"/>
    <s v="Petrol"/>
    <n v="4"/>
    <n v="840"/>
  </r>
  <r>
    <x v="20"/>
    <s v="WRAITH EAGLE VIII"/>
    <s v="V12"/>
    <n v="6592"/>
    <n v="623"/>
    <n v="250"/>
    <n v="4.5"/>
    <n v="349000"/>
    <s v="Petrol"/>
    <n v="4"/>
    <n v="800"/>
  </r>
  <r>
    <x v="20"/>
    <s v="WRAITH KRYPTOS"/>
    <s v="V12"/>
    <n v="6592"/>
    <n v="623"/>
    <n v="250"/>
    <n v="4.5"/>
    <n v="369000"/>
    <s v="Petrol"/>
    <n v="4"/>
    <n v="800"/>
  </r>
  <r>
    <x v="20"/>
    <s v="DAWN SILVER BULLET"/>
    <s v="V12"/>
    <n v="6592"/>
    <n v="563"/>
    <n v="250"/>
    <n v="4.8"/>
    <n v="418000"/>
    <s v="Petrol"/>
    <n v="4"/>
    <n v="840"/>
  </r>
  <r>
    <x v="20"/>
    <s v="WRAITH LUMINARY"/>
    <s v="V12"/>
    <n v="6592"/>
    <n v="623"/>
    <n v="250"/>
    <n v="4.5"/>
    <n v="389000"/>
    <s v="Petrol"/>
    <n v="4"/>
    <n v="800"/>
  </r>
  <r>
    <x v="20"/>
    <s v="DAWN BLACK BADGE ADAMAS"/>
    <s v="V12"/>
    <n v="6592"/>
    <n v="563"/>
    <n v="250"/>
    <n v="4.8"/>
    <n v="439000"/>
    <s v="Petrol"/>
    <n v="4"/>
    <n v="840"/>
  </r>
  <r>
    <x v="4"/>
    <s v="Wrangler 392"/>
    <s v="6.4L V8 HEMI Gasoline"/>
    <n v="6400"/>
    <n v="470"/>
    <n v="160"/>
    <n v="4.5"/>
    <n v="82495"/>
    <s v="Petrol"/>
    <n v="4"/>
    <n v="637"/>
  </r>
  <r>
    <x v="5"/>
    <s v="Camaro ZL1"/>
    <s v="6.2L Supercharged V8 Gasoline"/>
    <n v="6200"/>
    <n v="650"/>
    <n v="318"/>
    <n v="3.5"/>
    <n v="67300"/>
    <s v="Petrol"/>
    <n v="4"/>
    <n v="881"/>
  </r>
  <r>
    <x v="5"/>
    <s v="Camaro SS"/>
    <s v="6.2L V8 Gasoline"/>
    <n v="6200"/>
    <n v="455"/>
    <n v="290"/>
    <n v="4.3"/>
    <n v="43500"/>
    <s v="Petrol"/>
    <n v="4"/>
    <n v="617"/>
  </r>
  <r>
    <x v="24"/>
    <s v="RAPIDE AMR"/>
    <s v="V12"/>
    <n v="5935"/>
    <n v="580"/>
    <n v="328"/>
    <n v="4.2"/>
    <n v="240000"/>
    <s v="Petrol"/>
    <n v="4"/>
    <n v="630"/>
  </r>
  <r>
    <x v="24"/>
    <s v="LAGONDA TARAF"/>
    <s v="V12"/>
    <n v="5935"/>
    <n v="540"/>
    <n v="314"/>
    <n v="4.2"/>
    <n v="1100000"/>
    <s v="Petrol"/>
    <n v="4"/>
    <n v="630"/>
  </r>
  <r>
    <x v="24"/>
    <s v="DB11"/>
    <s v="V12"/>
    <n v="5204"/>
    <n v="600"/>
    <n v="322"/>
    <n v="3.9"/>
    <n v="208000"/>
    <s v="Petrol"/>
    <n v="4"/>
    <n v="700"/>
  </r>
  <r>
    <x v="1"/>
    <s v="Mustang"/>
    <s v="5.0L V8"/>
    <n v="5000"/>
    <n v="450"/>
    <n v="250"/>
    <n v="4.3"/>
    <n v="55000"/>
    <s v="Petrol"/>
    <n v="4"/>
    <n v="530"/>
  </r>
  <r>
    <x v="1"/>
    <s v="Mustang (2024)"/>
    <s v="V8 Gasoline Engine"/>
    <n v="5000"/>
    <n v="450"/>
    <n v="250"/>
    <n v="4.5"/>
    <n v="60000"/>
    <s v="Petrol"/>
    <n v="4"/>
    <n v="570"/>
  </r>
  <r>
    <x v="22"/>
    <s v="M850i DRIVE COUPE"/>
    <s v="V8"/>
    <n v="4935"/>
    <n v="523"/>
    <n v="285"/>
    <n v="3.7"/>
    <n v="108000"/>
    <s v="Petrol"/>
    <n v="4"/>
    <n v="750"/>
  </r>
  <r>
    <x v="28"/>
    <s v="Continental GT Azure"/>
    <s v="V8"/>
    <n v="3996"/>
    <n v="550"/>
    <n v="318"/>
    <n v="4"/>
    <n v="311000"/>
    <s v="Petrol"/>
    <n v="4"/>
    <n v="900"/>
  </r>
  <r>
    <x v="25"/>
    <s v="Panamera Turbo S"/>
    <s v="4.0L V8 Twin Turbo"/>
    <n v="3996"/>
    <m/>
    <n v="315"/>
    <n v="3.1"/>
    <n v="180000"/>
    <s v="Petrol"/>
    <n v="4"/>
    <n v="820"/>
  </r>
  <r>
    <x v="25"/>
    <s v="Panamera GTS"/>
    <s v="4.0L V8 Twin Turbo"/>
    <n v="3996"/>
    <m/>
    <n v="300"/>
    <n v="3.9"/>
    <n v="130000"/>
    <s v="Petrol"/>
    <n v="4"/>
    <n v="620"/>
  </r>
  <r>
    <x v="25"/>
    <s v="Panamera Turbo S E-Hybrid Sport Turismo"/>
    <s v="4.0L Twin-Turbo V8 + Electric Motor"/>
    <n v="3996"/>
    <n v="690"/>
    <n v="315"/>
    <n v="3.2"/>
    <n v="200200"/>
    <s v="Hybrid"/>
    <n v="4"/>
    <n v="870"/>
  </r>
  <r>
    <x v="25"/>
    <s v="Panamera GTS Sport Turismo"/>
    <s v="4.0L Twin-Turbo V8"/>
    <n v="3996"/>
    <n v="473"/>
    <n v="300"/>
    <n v="3.9"/>
    <n v="136900"/>
    <s v="Petrol"/>
    <n v="4"/>
    <n v="620"/>
  </r>
  <r>
    <x v="25"/>
    <s v="Panamera Turbo Executive"/>
    <s v="4.0L Twin-Turbo V8"/>
    <n v="3996"/>
    <n v="550"/>
    <n v="306"/>
    <n v="3.8"/>
    <n v="175200"/>
    <s v="Petrol"/>
    <n v="4"/>
    <n v="770"/>
  </r>
  <r>
    <x v="25"/>
    <s v="Panamera Turbo S Exclusive Series"/>
    <s v="4.0L Twin-Turbo V8"/>
    <n v="3996"/>
    <n v="570"/>
    <n v="310"/>
    <n v="3.8"/>
    <n v="290000"/>
    <s v="Petrol"/>
    <n v="4"/>
    <n v="800"/>
  </r>
  <r>
    <x v="25"/>
    <s v="Cayenne Turbo GT"/>
    <s v="4.0L Twin-Turbo V8"/>
    <n v="3996"/>
    <n v="631"/>
    <n v="300"/>
    <n v="3.3"/>
    <n v="182150"/>
    <s v="Petrol"/>
    <n v="4"/>
    <n v="850"/>
  </r>
  <r>
    <x v="25"/>
    <s v="Cayenne Turbo S E-Hybrid Coupe"/>
    <s v="4.0L Twin-Turbo V8 + Electric Motor"/>
    <n v="3996"/>
    <n v="670"/>
    <n v="295"/>
    <n v="3.6"/>
    <n v="167800"/>
    <s v="Hybrid"/>
    <n v="4"/>
    <n v="900"/>
  </r>
  <r>
    <x v="25"/>
    <s v="Cayenne GTS Coupe"/>
    <s v="4.0L Twin-Turbo V8"/>
    <n v="3996"/>
    <n v="453"/>
    <n v="270"/>
    <n v="4.5"/>
    <n v="111200"/>
    <s v="Petrol"/>
    <n v="4"/>
    <n v="620"/>
  </r>
  <r>
    <x v="25"/>
    <s v="Cayenne Coupe Turbo E-Hybrid"/>
    <s v="4.0L Twin-Turbo V8 + Electric Motor"/>
    <n v="3996"/>
    <n v="728"/>
    <n v="295"/>
    <n v="3.6"/>
    <n v="182900"/>
    <s v="Hybrid"/>
    <n v="4"/>
    <n v="950"/>
  </r>
  <r>
    <x v="21"/>
    <s v=" GT 63 S"/>
    <s v="V8"/>
    <n v="3982"/>
    <n v="630"/>
    <n v="250"/>
    <n v="3.2"/>
    <n v="161000"/>
    <s v="Petrol"/>
    <n v="4"/>
    <n v="900"/>
  </r>
  <r>
    <x v="29"/>
    <s v="PORTOFINO"/>
    <s v="V8"/>
    <n v="3900"/>
    <n v="592"/>
    <n v="320"/>
    <n v="3.2"/>
    <n v="210000"/>
    <s v="Petrol"/>
    <n v="4"/>
    <n v="760"/>
  </r>
  <r>
    <x v="29"/>
    <s v="ROMA"/>
    <s v="V8"/>
    <n v="3900"/>
    <n v="612"/>
    <n v="320"/>
    <n v="3.4"/>
    <n v="230000"/>
    <s v="Petrol"/>
    <n v="4"/>
    <n v="760"/>
  </r>
  <r>
    <x v="29"/>
    <s v="PORTOFINO M"/>
    <s v="V8"/>
    <n v="3900"/>
    <n v="612"/>
    <n v="320"/>
    <n v="3.2"/>
    <n v="220000"/>
    <s v="Petrol"/>
    <n v="4"/>
    <n v="760"/>
  </r>
  <r>
    <x v="29"/>
    <s v="ROMA SPIDER"/>
    <s v="V8"/>
    <n v="3900"/>
    <n v="612"/>
    <n v="320"/>
    <n v="3.4"/>
    <n v="240000"/>
    <s v="Petrol"/>
    <n v="4"/>
    <n v="760"/>
  </r>
  <r>
    <x v="2"/>
    <s v="GT-R"/>
    <s v="V6"/>
    <n v="3799"/>
    <n v="600"/>
    <n v="315"/>
    <n v="2.9"/>
    <n v="113000"/>
    <s v="Petrol"/>
    <n v="4"/>
    <n v="637"/>
  </r>
  <r>
    <x v="25"/>
    <s v="911 Turbo"/>
    <s v="3.8L Twin-Turbo Flat-6"/>
    <n v="3745"/>
    <n v="572"/>
    <n v="320"/>
    <n v="2.7"/>
    <n v="197200"/>
    <s v="Petrol"/>
    <n v="4"/>
    <n v="750"/>
  </r>
  <r>
    <x v="25"/>
    <s v="911 Turbo S"/>
    <s v="3.8L Twin-Turbo Flat-6"/>
    <n v="3745"/>
    <n v="640"/>
    <n v="330"/>
    <n v="2.6"/>
    <n v="230400"/>
    <s v="Petrol"/>
    <n v="4"/>
    <n v="800"/>
  </r>
  <r>
    <x v="25"/>
    <s v="911 Turbo Cabriolet"/>
    <s v="3.8L Twin-Turbo Flat-6"/>
    <n v="3745"/>
    <n v="572"/>
    <n v="320"/>
    <n v="2.9"/>
    <n v="184100"/>
    <s v="Petrol"/>
    <n v="4"/>
    <n v="750"/>
  </r>
  <r>
    <x v="25"/>
    <s v="911 Turbo S Coupe"/>
    <s v="3.8L Twin-Turbo Flat-6"/>
    <n v="3745"/>
    <n v="640"/>
    <n v="330"/>
    <n v="2.7"/>
    <n v="207000"/>
    <s v="Petrol"/>
    <n v="4"/>
    <n v="800"/>
  </r>
  <r>
    <x v="25"/>
    <s v="911 Turbo Exclusive Series"/>
    <s v="3.8L Twin-Turbo Flat-6"/>
    <n v="3745"/>
    <n v="607"/>
    <n v="330"/>
    <n v="2.9"/>
    <n v="258000"/>
    <s v="Petrol"/>
    <n v="4"/>
    <n v="750"/>
  </r>
  <r>
    <x v="25"/>
    <s v="911 Turbo Cabriolet Lightweight"/>
    <s v="3.8L Twin-Turbo Flat-6"/>
    <n v="3745"/>
    <n v="572"/>
    <n v="318"/>
    <n v="3"/>
    <n v="191300"/>
    <s v="Petrol"/>
    <n v="4"/>
    <n v="750"/>
  </r>
  <r>
    <x v="4"/>
    <s v="Wrangler"/>
    <s v="3.6L V6 Pentastar Gasoline"/>
    <n v="3600"/>
    <n v="285"/>
    <n v="180"/>
    <n v="6.8"/>
    <n v="35195"/>
    <s v="Petrol"/>
    <n v="4"/>
    <n v="353"/>
  </r>
  <r>
    <x v="2"/>
    <s v="Murano CrossCabriolet"/>
    <s v="3.5L V6"/>
    <n v="3498"/>
    <m/>
    <n v="195"/>
    <n v="7.6"/>
    <n v="47000"/>
    <s v="Petrol"/>
    <n v="4"/>
    <n v="325"/>
  </r>
  <r>
    <x v="1"/>
    <s v="Bronco Raptor"/>
    <s v="3.0L Twin-Turbo V6"/>
    <n v="3000"/>
    <n v="400"/>
    <n v="220"/>
    <n v="5.5"/>
    <n v="70000"/>
    <s v="Petrol"/>
    <n v="4"/>
    <n v="583"/>
  </r>
  <r>
    <x v="2"/>
    <s v="Infiniti Q60*"/>
    <s v="3.0L V6 Twin-Turbo"/>
    <n v="2997"/>
    <m/>
    <n v="250"/>
    <n v="5"/>
    <n v="41750"/>
    <s v="Petrol"/>
    <n v="4"/>
    <n v="400"/>
  </r>
  <r>
    <x v="14"/>
    <s v="S5 COUPE"/>
    <s v="V6"/>
    <n v="2995"/>
    <n v="349"/>
    <n v="250"/>
    <n v="4.8"/>
    <n v="64000"/>
    <s v="Petrol"/>
    <n v="4"/>
    <n v="500"/>
  </r>
  <r>
    <x v="22"/>
    <s v="M4 GTS"/>
    <s v="I6"/>
    <n v="2993"/>
    <n v="493"/>
    <n v="305"/>
    <n v="3.7"/>
    <n v="133000"/>
    <s v="Petrol"/>
    <n v="4"/>
    <n v="600"/>
  </r>
  <r>
    <x v="22"/>
    <s v="M2 CS"/>
    <s v="I6"/>
    <n v="2993"/>
    <n v="444"/>
    <n v="280"/>
    <n v="4"/>
    <n v="83000"/>
    <s v="Petrol"/>
    <n v="4"/>
    <n v="550"/>
  </r>
  <r>
    <x v="22"/>
    <s v="M4 COMPETITION"/>
    <s v="I6"/>
    <n v="2993"/>
    <n v="503"/>
    <n v="290"/>
    <n v="3.8"/>
    <n v="81000"/>
    <s v="Petrol"/>
    <n v="4"/>
    <n v="650"/>
  </r>
  <r>
    <x v="25"/>
    <s v="911 Carrera"/>
    <s v="3.0L Flat-6 Twin Turbo"/>
    <n v="2981"/>
    <m/>
    <n v="293"/>
    <n v="4.2"/>
    <n v="110000"/>
    <s v="Petrol"/>
    <n v="4"/>
    <n v="450"/>
  </r>
  <r>
    <x v="25"/>
    <s v="911 Carrera S"/>
    <s v="3.0L Twin-Turbo Flat-6"/>
    <n v="2981"/>
    <n v="443"/>
    <n v="308"/>
    <n v="3.5"/>
    <n v="131300"/>
    <s v="Petrol"/>
    <n v="4"/>
    <n v="528"/>
  </r>
  <r>
    <x v="25"/>
    <s v="911 Carrera 4"/>
    <s v="3.0L Twin-Turbo Flat-6"/>
    <n v="2981"/>
    <n v="379"/>
    <n v="293"/>
    <n v="4.2"/>
    <n v="106500"/>
    <s v="Petrol"/>
    <n v="4"/>
    <n v="450"/>
  </r>
  <r>
    <x v="25"/>
    <s v="911 Carrera 4S"/>
    <s v="3.0L Twin-Turbo Flat-6"/>
    <n v="2981"/>
    <n v="443"/>
    <n v="306"/>
    <n v="3.4"/>
    <n v="113300"/>
    <s v="Petrol"/>
    <n v="4"/>
    <n v="528"/>
  </r>
  <r>
    <x v="25"/>
    <s v="911 Targa 4"/>
    <s v="3.0L Twin-Turbo Flat-6"/>
    <n v="2981"/>
    <n v="379"/>
    <n v="289"/>
    <n v="4.4000000000000004"/>
    <n v="121300"/>
    <s v="Petrol"/>
    <n v="4"/>
    <n v="450"/>
  </r>
  <r>
    <x v="25"/>
    <s v="911 Carrera Base"/>
    <s v="3.0L Twin-Turbo Flat-6"/>
    <n v="2981"/>
    <n v="379"/>
    <n v="293"/>
    <n v="4.2"/>
    <n v="106100"/>
    <s v="Petrol"/>
    <n v="4"/>
    <n v="450"/>
  </r>
  <r>
    <x v="25"/>
    <s v="911 Carrera S Cabriolet"/>
    <s v="3.0L Twin-Turbo Flat-6"/>
    <n v="2981"/>
    <n v="443"/>
    <n v="304"/>
    <n v="3.9"/>
    <n v="129900"/>
    <s v="Petrol"/>
    <n v="4"/>
    <n v="530"/>
  </r>
  <r>
    <x v="25"/>
    <s v="911 Carrera 4 GTS"/>
    <s v="3.0L Twin-Turbo Flat-6"/>
    <n v="2981"/>
    <n v="473"/>
    <n v="311"/>
    <n v="3.3"/>
    <n v="137000"/>
    <s v="Petrol"/>
    <n v="4"/>
    <n v="570"/>
  </r>
  <r>
    <x v="25"/>
    <s v="911 Targa 4 GTS"/>
    <s v="3.0L Twin-Turbo Flat-6"/>
    <n v="2981"/>
    <n v="473"/>
    <n v="307"/>
    <n v="3.5"/>
    <n v="157300"/>
    <s v="Petrol"/>
    <n v="4"/>
    <n v="570"/>
  </r>
  <r>
    <x v="25"/>
    <s v="911 Dakar Limited Edition"/>
    <s v="3.0L Twin-Turbo Flat-6"/>
    <n v="2981"/>
    <n v="473"/>
    <n v="240"/>
    <n v="3.4"/>
    <n v="222000"/>
    <s v="Petrol"/>
    <n v="4"/>
    <n v="570"/>
  </r>
  <r>
    <x v="25"/>
    <s v="911 Carrera GTS Lightweight"/>
    <s v="3.0L Twin-Turbo Flat-6"/>
    <n v="2981"/>
    <n v="473"/>
    <n v="311"/>
    <n v="3.2"/>
    <n v="145300"/>
    <s v="Petrol"/>
    <n v="4"/>
    <n v="570"/>
  </r>
  <r>
    <x v="25"/>
    <s v="911 Targa 4 Lightweight"/>
    <s v="3.0L Twin-Turbo Flat-6"/>
    <n v="2981"/>
    <n v="379"/>
    <n v="289"/>
    <n v="4.3"/>
    <n v="135500"/>
    <s v="Petrol"/>
    <n v="4"/>
    <n v="450"/>
  </r>
  <r>
    <x v="25"/>
    <s v="911 Sport Turismo"/>
    <s v="3.0L Twin-Turbo Flat-6"/>
    <n v="2981"/>
    <n v="379"/>
    <n v="293"/>
    <n v="4.4000000000000004"/>
    <n v="116000"/>
    <s v="Petrol"/>
    <n v="4"/>
    <n v="450"/>
  </r>
  <r>
    <x v="25"/>
    <s v="911 Dakar Sport"/>
    <s v="3.0L Twin-Turbo Flat-6"/>
    <n v="2981"/>
    <n v="473"/>
    <n v="240"/>
    <n v="3.5"/>
    <n v="233000"/>
    <s v="Petrol"/>
    <n v="4"/>
    <n v="570"/>
  </r>
  <r>
    <x v="2"/>
    <s v="300ZX"/>
    <s v="3.0L Twin-Turbo V6"/>
    <n v="2960"/>
    <m/>
    <n v="250"/>
    <n v="5.9"/>
    <n v="50000"/>
    <s v="Petrol"/>
    <n v="4"/>
    <n v="384"/>
  </r>
  <r>
    <x v="2"/>
    <s v="300ZX Turbo"/>
    <s v="3.0L Twin-Turbo V6"/>
    <n v="2960"/>
    <m/>
    <n v="250"/>
    <n v="5.9"/>
    <n v="55000"/>
    <s v="Petrol"/>
    <n v="4"/>
    <n v="384"/>
  </r>
  <r>
    <x v="25"/>
    <s v="Panamera"/>
    <s v="2.9L V6 Twin Turbo"/>
    <n v="2894"/>
    <m/>
    <n v="270"/>
    <n v="5.6"/>
    <n v="88000"/>
    <s v="Petrol"/>
    <n v="4"/>
    <n v="450"/>
  </r>
  <r>
    <x v="25"/>
    <s v="Panamera 4"/>
    <s v="2.9L V6 Twin Turbo"/>
    <n v="2894"/>
    <m/>
    <n v="270"/>
    <n v="5.4"/>
    <n v="92000"/>
    <s v="Petrol"/>
    <n v="4"/>
    <n v="450"/>
  </r>
  <r>
    <x v="25"/>
    <s v="Panamera 4S"/>
    <s v="2.9L V6 Twin Turbo"/>
    <n v="2894"/>
    <m/>
    <n v="289"/>
    <n v="4.4000000000000004"/>
    <n v="105000"/>
    <s v="Petrol"/>
    <n v="4"/>
    <n v="550"/>
  </r>
  <r>
    <x v="25"/>
    <s v="Panamera Platinum Edition"/>
    <s v="2.9L V6 Twin Turbo"/>
    <n v="2894"/>
    <m/>
    <n v="270"/>
    <n v="5.4"/>
    <n v="102000"/>
    <s v="Petrol"/>
    <n v="4"/>
    <n v="450"/>
  </r>
  <r>
    <x v="25"/>
    <s v="Panamera 4 Executive"/>
    <s v="2.9L V6 Twin Turbo"/>
    <n v="2894"/>
    <m/>
    <n v="270"/>
    <n v="5.6"/>
    <n v="95000"/>
    <s v="Petrol"/>
    <n v="4"/>
    <n v="450"/>
  </r>
  <r>
    <x v="25"/>
    <s v="Panamera Base"/>
    <s v="2.9L Twin-Turbo V6"/>
    <n v="2894"/>
    <n v="325"/>
    <n v="265"/>
    <n v="5.6"/>
    <n v="92300"/>
    <s v="Petrol"/>
    <n v="4"/>
    <n v="450"/>
  </r>
  <r>
    <x v="25"/>
    <s v="Panamera 4 E-Hybrid"/>
    <s v="2.9L Twin-Turbo V6 + Electric Motor"/>
    <n v="2894"/>
    <n v="462"/>
    <n v="280"/>
    <n v="4.4000000000000004"/>
    <n v="113300"/>
    <s v="Hybrid"/>
    <n v="4"/>
    <n v="700"/>
  </r>
  <r>
    <x v="25"/>
    <s v="Panamera 4 Sport Turismo"/>
    <s v="2.9L Twin-Turbo V6"/>
    <n v="2894"/>
    <n v="325"/>
    <n v="265"/>
    <n v="5.5"/>
    <n v="101400"/>
    <s v="Petrol"/>
    <n v="4"/>
    <n v="450"/>
  </r>
  <r>
    <x v="25"/>
    <s v="Panamera 4S E-Hybrid Executive"/>
    <s v="2.9L Twin-Turbo V6 + Electric Motor"/>
    <n v="2894"/>
    <n v="560"/>
    <n v="295"/>
    <n v="3.7"/>
    <n v="128900"/>
    <s v="Hybrid"/>
    <n v="4"/>
    <n v="750"/>
  </r>
  <r>
    <x v="25"/>
    <s v="Panamera 4S "/>
    <s v="2.9L Twin-Turbo V6"/>
    <n v="2894"/>
    <n v="443"/>
    <n v="289"/>
    <n v="4.0999999999999996"/>
    <n v="105000"/>
    <s v="Petrol"/>
    <n v="4"/>
    <n v="550"/>
  </r>
  <r>
    <x v="25"/>
    <s v="Cayenne S Coupe"/>
    <s v="2.9L Twin-Turbo V6"/>
    <n v="2894"/>
    <n v="434"/>
    <n v="263"/>
    <n v="4.7"/>
    <n v="94300"/>
    <s v="Petrol"/>
    <n v="4"/>
    <n v="550"/>
  </r>
  <r>
    <x v="3"/>
    <s v="Corrado"/>
    <s v="2.9L VR6"/>
    <n v="2861"/>
    <n v="190"/>
    <n v="235"/>
    <n v="6.4"/>
    <n v="25000"/>
    <s v="Petrol"/>
    <n v="4"/>
    <n v="245"/>
  </r>
  <r>
    <x v="2"/>
    <s v="Skyline GT-R R34"/>
    <s v="2.6L Twin-Turbo Inline-6"/>
    <n v="2568"/>
    <m/>
    <n v="250"/>
    <n v="5.6"/>
    <n v="70000"/>
    <s v="Petrol"/>
    <n v="4"/>
    <n v="392"/>
  </r>
  <r>
    <x v="12"/>
    <s v="MX-6"/>
    <s v="2.5L V6"/>
    <n v="2500"/>
    <n v="164"/>
    <n v="210"/>
    <n v="8.8000000000000007"/>
    <n v="21000"/>
    <s v="Petrol"/>
    <n v="4"/>
    <n v="215"/>
  </r>
  <r>
    <x v="12"/>
    <s v="Sentia Hardtop Coupe"/>
    <s v="2.5L V6"/>
    <n v="2500"/>
    <n v="160"/>
    <n v="210"/>
    <n v="8"/>
    <n v="32500"/>
    <s v="Petrol"/>
    <n v="4"/>
    <n v="220"/>
  </r>
  <r>
    <x v="0"/>
    <s v="TOYOTA  GR86"/>
    <s v="BOXER-4"/>
    <n v="2387"/>
    <n v="228"/>
    <n v="226"/>
    <n v="5.6"/>
    <n v="30000"/>
    <s v="Petrol"/>
    <n v="4"/>
    <n v="250"/>
  </r>
  <r>
    <x v="10"/>
    <s v="Veloster"/>
    <s v="2.0L Inline-4"/>
    <n v="2000"/>
    <n v="275"/>
    <n v="220"/>
    <n v="6"/>
    <n v="25000"/>
    <s v="Petrol"/>
    <n v="4"/>
    <n v="264"/>
  </r>
  <r>
    <x v="10"/>
    <s v="Tiburon"/>
    <s v="2.0L Inline-4"/>
    <n v="2000"/>
    <n v="160"/>
    <n v="200"/>
    <n v="8.1999999999999993"/>
    <n v="19000"/>
    <s v="Petrol"/>
    <n v="4"/>
    <n v="320"/>
  </r>
  <r>
    <x v="4"/>
    <s v="Wrangler Rubicon"/>
    <s v="2.0L Turbo I4 Gasoline"/>
    <n v="2000"/>
    <n v="270"/>
    <n v="180"/>
    <n v="7.1"/>
    <n v="42100"/>
    <s v="Petrol"/>
    <n v="4"/>
    <n v="400"/>
  </r>
  <r>
    <x v="5"/>
    <s v="Camaro"/>
    <s v="2.0L Turbo Inline-4 Gasoline"/>
    <n v="2000"/>
    <n v="275"/>
    <n v="240"/>
    <n v="5.4"/>
    <n v="26400"/>
    <s v="Petrol"/>
    <n v="4"/>
    <n v="400"/>
  </r>
  <r>
    <x v="12"/>
    <s v="Eunos Cosmo"/>
    <s v="2.0L Twin-Rotor Turbo"/>
    <n v="2000"/>
    <n v="280"/>
    <n v="240"/>
    <n v="6"/>
    <n v="45000"/>
    <s v="Petrol"/>
    <n v="4"/>
    <n v="300"/>
  </r>
  <r>
    <x v="12"/>
    <s v="Capella Cargo"/>
    <s v="2.0L Inline-4"/>
    <n v="2000"/>
    <n v="115"/>
    <n v="180"/>
    <n v="12"/>
    <n v="20000"/>
    <s v="Petrol"/>
    <n v="4"/>
    <n v="160"/>
  </r>
  <r>
    <x v="0"/>
    <s v="TOYOTA 86"/>
    <s v="BOXER-4"/>
    <n v="1998"/>
    <n v="205"/>
    <n v="226"/>
    <n v="6.4"/>
    <n v="27000"/>
    <s v="Petrol"/>
    <n v="4"/>
    <n v="205"/>
  </r>
  <r>
    <x v="22"/>
    <s v="430i COUPE"/>
    <s v="I4"/>
    <n v="1998"/>
    <n v="255"/>
    <n v="250"/>
    <n v="5.8"/>
    <n v="48000"/>
    <s v="Petrol"/>
    <n v="4"/>
    <n v="400"/>
  </r>
  <r>
    <x v="2"/>
    <s v="Silvia"/>
    <s v="2.0L Turbo Inline-4"/>
    <n v="1998"/>
    <m/>
    <n v="235"/>
    <n v="5.9"/>
    <n v="45000"/>
    <s v="Petrol"/>
    <n v="4"/>
    <n v="275"/>
  </r>
  <r>
    <x v="2"/>
    <s v="NX Coupe"/>
    <s v="2.0L Inline-4"/>
    <n v="1998"/>
    <m/>
    <n v="200"/>
    <n v="9"/>
    <n v="22000"/>
    <s v="Petrol"/>
    <n v="4"/>
    <n v="180"/>
  </r>
  <r>
    <x v="2"/>
    <s v="200SX"/>
    <s v="2.0L Turbo Inline-4"/>
    <n v="1998"/>
    <m/>
    <n v="240"/>
    <n v="7.2"/>
    <n v="30000"/>
    <s v="Petrol"/>
    <n v="4"/>
    <n v="265"/>
  </r>
  <r>
    <x v="2"/>
    <s v="180SX"/>
    <s v="2.0L Turbo Inline-4"/>
    <n v="1998"/>
    <m/>
    <n v="240"/>
    <n v="6.8"/>
    <n v="35000"/>
    <s v="Petrol"/>
    <n v="4"/>
    <n v="275"/>
  </r>
  <r>
    <x v="2"/>
    <s v="Silvia S15 Spec-R"/>
    <s v="2.0L Turbo Inline-4"/>
    <n v="1998"/>
    <m/>
    <n v="240"/>
    <n v="5.6"/>
    <n v="35000"/>
    <s v="Petrol"/>
    <n v="4"/>
    <n v="300"/>
  </r>
  <r>
    <x v="16"/>
    <s v="THAR"/>
    <s v="2.0L,4-CYLINDER,INLINE-4(I4)"/>
    <n v="1997"/>
    <n v="150"/>
    <n v="180"/>
    <n v="10.5"/>
    <n v="20400"/>
    <s v="Petrol/Diesel"/>
    <n v="4"/>
    <n v="320"/>
  </r>
  <r>
    <x v="14"/>
    <s v="A5 COUPE"/>
    <s v="I4"/>
    <n v="1984"/>
    <n v="248"/>
    <n v="240"/>
    <n v="6.3"/>
    <n v="45000"/>
    <s v="Petrol"/>
    <n v="4"/>
    <n v="500"/>
  </r>
  <r>
    <x v="3"/>
    <s v="Scirocco"/>
    <s v="2.0L Turbo I4"/>
    <n v="1984"/>
    <n v="202"/>
    <n v="233"/>
    <n v="6"/>
    <n v="35000"/>
    <s v="Petrol"/>
    <n v="4"/>
    <n v="350"/>
  </r>
  <r>
    <x v="3"/>
    <s v="Beetle"/>
    <s v="2.0L Turbo I4"/>
    <n v="1984"/>
    <n v="158"/>
    <n v="205"/>
    <n v="7"/>
    <n v="20000"/>
    <s v="Petrol"/>
    <n v="4"/>
    <n v="240"/>
  </r>
  <r>
    <x v="3"/>
    <s v="Scirocco R"/>
    <s v="2.0L Turbo I4"/>
    <n v="1984"/>
    <n v="280"/>
    <n v="250"/>
    <n v="5.5"/>
    <n v="40000"/>
    <s v="Petrol"/>
    <n v="4"/>
    <n v="350"/>
  </r>
  <r>
    <x v="3"/>
    <s v="Scirocco GTS"/>
    <s v="2.0L I4 Turbo"/>
    <n v="1984"/>
    <n v="220"/>
    <n v="246"/>
    <n v="6.5"/>
    <n v="35000"/>
    <s v="Petrol"/>
    <n v="4"/>
    <n v="350"/>
  </r>
  <r>
    <x v="3"/>
    <s v="Beetle Final Edition"/>
    <s v="2.0L I4 Turbo"/>
    <n v="1984"/>
    <n v="174"/>
    <n v="205"/>
    <n v="7"/>
    <n v="25000"/>
    <s v="Petrol"/>
    <n v="4"/>
    <n v="250"/>
  </r>
  <r>
    <x v="3"/>
    <s v="Golf R Cabriolet"/>
    <s v="2.0L I4 Turbo"/>
    <n v="1984"/>
    <n v="265"/>
    <n v="250"/>
    <n v="5.9"/>
    <n v="45000"/>
    <s v="Petrol"/>
    <n v="4"/>
    <n v="380"/>
  </r>
  <r>
    <x v="2"/>
    <s v="Silvia S13"/>
    <s v="1.8L Turbo Inline-4"/>
    <n v="1809"/>
    <m/>
    <n v="215"/>
    <n v="6.8"/>
    <n v="20000"/>
    <s v="Petrol"/>
    <n v="4"/>
    <n v="230"/>
  </r>
  <r>
    <x v="3"/>
    <s v="Scirocco 16V"/>
    <s v="1.8L I4 Gas"/>
    <n v="1781"/>
    <n v="137"/>
    <n v="220"/>
    <n v="7.1"/>
    <n v="35000"/>
    <s v="Petrol"/>
    <n v="4"/>
    <n v="230"/>
  </r>
  <r>
    <x v="0"/>
    <s v="GR YARIS"/>
    <s v="1.6L,TURBOCHARGED INLINE-3"/>
    <n v="1618"/>
    <n v="268"/>
    <n v="230"/>
    <n v="5.5"/>
    <n v="45000"/>
    <s v="Petrol"/>
    <n v="4"/>
    <n v="390"/>
  </r>
  <r>
    <x v="12"/>
    <s v="MX-3"/>
    <s v="1.6L Inline-4"/>
    <n v="1598"/>
    <n v="130"/>
    <n v="190"/>
    <n v="8.5"/>
    <n v="20000"/>
    <s v="Petrol"/>
    <n v="4"/>
    <n v="140"/>
  </r>
  <r>
    <x v="2"/>
    <s v="100NX"/>
    <s v="1.6L Inline-4"/>
    <n v="1597"/>
    <m/>
    <n v="185"/>
    <n v="9.6"/>
    <n v="18000"/>
    <s v="Petrol"/>
    <n v="4"/>
    <n v="135"/>
  </r>
  <r>
    <x v="2"/>
    <s v="Datsun 510 (Classic)"/>
    <s v="1.6L Inline-4"/>
    <n v="1595"/>
    <m/>
    <n v="175"/>
    <n v="10.199999999999999"/>
    <n v="25000"/>
    <s v="Petrol"/>
    <n v="4"/>
    <n v="135"/>
  </r>
  <r>
    <x v="2"/>
    <s v="Datsun 510"/>
    <s v="1.6L Inline-4"/>
    <n v="1595"/>
    <m/>
    <n v="175"/>
    <n v="10.199999999999999"/>
    <n v="25000"/>
    <s v="Petrol"/>
    <n v="4"/>
    <n v="135"/>
  </r>
  <r>
    <x v="12"/>
    <s v="RX-5"/>
    <s v="1.6L Inline-2 (Wankel)"/>
    <n v="1588"/>
    <n v="135"/>
    <n v="190"/>
    <n v="8"/>
    <n v="27500"/>
    <s v="Petrol"/>
    <n v="4"/>
    <n v="210"/>
  </r>
  <r>
    <x v="13"/>
    <s v="Colt CZC Convertible"/>
    <s v="1.5L Turbocharged"/>
    <n v="1500"/>
    <n v="147"/>
    <n v="200"/>
    <n v="9.5"/>
    <n v="27500"/>
    <s v="Petrol"/>
    <n v="4"/>
    <n v="210"/>
  </r>
  <r>
    <x v="3"/>
    <s v="Beetle Dune"/>
    <s v="1.4L I4 Turbo"/>
    <n v="1395"/>
    <n v="150"/>
    <n v="200"/>
    <n v="7.5"/>
    <n v="30000"/>
    <s v="Petrol"/>
    <n v="4"/>
    <n v="250"/>
  </r>
  <r>
    <x v="12"/>
    <s v="RX-2"/>
    <s v="1.3L Inline-2 (Wankel)"/>
    <n v="1308"/>
    <n v="130"/>
    <n v="185"/>
    <n v="8.5"/>
    <n v="22500"/>
    <s v="Petrol"/>
    <n v="4"/>
    <n v="220"/>
  </r>
  <r>
    <x v="12"/>
    <s v="Luce Rotary Coupe"/>
    <s v="1.3L Wankel Rotary Engine"/>
    <n v="1308"/>
    <n v="135"/>
    <n v="175"/>
    <n v="12"/>
    <n v="27500"/>
    <s v="Petrol"/>
    <n v="4"/>
    <n v="180"/>
  </r>
  <r>
    <x v="12"/>
    <s v="RX-7"/>
    <s v="1.3L Rotary Twin-Turbo"/>
    <n v="1300"/>
    <n v="276"/>
    <n v="250"/>
    <n v="5.5"/>
    <n v="40000"/>
    <s v="Petrol"/>
    <n v="4"/>
    <n v="314"/>
  </r>
  <r>
    <x v="12"/>
    <s v="RX-3"/>
    <s v="1.2L Rotary"/>
    <n v="1200"/>
    <n v="110"/>
    <n v="180"/>
    <n v="8.9"/>
    <n v="17500"/>
    <s v="Petrol"/>
    <n v="4"/>
    <n v="145"/>
  </r>
  <r>
    <x v="12"/>
    <s v="1200"/>
    <s v="1.2L Inline-4"/>
    <n v="1200"/>
    <n v="60"/>
    <n v="130"/>
    <n v="16"/>
    <n v="11000"/>
    <s v="Petrol"/>
    <n v="4"/>
    <n v="90"/>
  </r>
  <r>
    <x v="3"/>
    <s v="Volkswagen Lupo 3L"/>
    <s v="1.2L Diesel I3"/>
    <n v="1199"/>
    <n v="61"/>
    <n v="165"/>
    <n v="14.5"/>
    <n v="20000"/>
    <s v="Diesel"/>
    <n v="4"/>
    <n v="140"/>
  </r>
  <r>
    <x v="3"/>
    <s v="Up! GTI"/>
    <s v="1.0L Turbo I3"/>
    <n v="999"/>
    <n v="115"/>
    <n v="196"/>
    <n v="8.8000000000000007"/>
    <n v="20000"/>
    <s v="Petrol"/>
    <n v="4"/>
    <n v="200"/>
  </r>
  <r>
    <x v="3"/>
    <s v="Up! Cabriolet"/>
    <s v="1.0L I3 Turbo"/>
    <n v="999"/>
    <n v="98"/>
    <n v="160"/>
    <n v="12.4"/>
    <n v="18000"/>
    <s v="Petrol"/>
    <n v="4"/>
    <n v="95"/>
  </r>
  <r>
    <x v="0"/>
    <s v="AYGO X"/>
    <s v="1.0L,INLINE-3"/>
    <n v="998"/>
    <n v="71"/>
    <n v="160"/>
    <n v="14.8"/>
    <n v="18000"/>
    <s v="Petrol"/>
    <n v="4"/>
    <n v="93"/>
  </r>
  <r>
    <x v="2"/>
    <s v="Figaro"/>
    <s v="1.0L Turbo Inline-4"/>
    <n v="987"/>
    <m/>
    <n v="170"/>
    <n v="12.8"/>
    <n v="20000"/>
    <s v="Petrol"/>
    <n v="4"/>
    <n v="103"/>
  </r>
  <r>
    <x v="13"/>
    <s v="Toppo BJ"/>
    <s v="0.7L 3-Cylinder"/>
    <n v="660"/>
    <n v="52"/>
    <n v="130"/>
    <n v="15"/>
    <n v="11000"/>
    <s v="Petrol"/>
    <n v="4"/>
    <n v="60"/>
  </r>
  <r>
    <x v="13"/>
    <s v="i (Kei Car)"/>
    <s v="0.7L 3-Cylinder"/>
    <n v="660"/>
    <n v="64"/>
    <n v="130"/>
    <n v="15.5"/>
    <n v="13500"/>
    <s v="Petrol"/>
    <n v="4"/>
    <n v="94"/>
  </r>
  <r>
    <x v="13"/>
    <s v="eK Space"/>
    <s v="0.7L 3-Cylinder"/>
    <n v="660"/>
    <n v="52"/>
    <n v="130"/>
    <n v="15"/>
    <n v="11000"/>
    <s v="Petrol"/>
    <n v="4"/>
    <n v="60"/>
  </r>
  <r>
    <x v="13"/>
    <s v="eK X"/>
    <s v="0.7L 3-Cylinder"/>
    <n v="660"/>
    <n v="64"/>
    <n v="140"/>
    <n v="13.5"/>
    <n v="13500"/>
    <s v="Petrol"/>
    <n v="4"/>
    <n v="94"/>
  </r>
  <r>
    <x v="13"/>
    <s v="Town Box"/>
    <s v="0.7L 3-Cylinder"/>
    <n v="660"/>
    <n v="48"/>
    <n v="120"/>
    <n v="16"/>
    <n v="11000"/>
    <s v="Petrol"/>
    <n v="4"/>
    <n v="60"/>
  </r>
  <r>
    <x v="12"/>
    <s v="Carol"/>
    <s v="660cc Inline-3"/>
    <n v="660"/>
    <n v="63"/>
    <n v="140"/>
    <n v="15.5"/>
    <n v="10500"/>
    <s v="Petrol"/>
    <n v="4"/>
    <n v="90"/>
  </r>
  <r>
    <x v="12"/>
    <s v="Spiano"/>
    <s v="660cc Inline-3"/>
    <n v="660"/>
    <n v="54"/>
    <n v="130"/>
    <n v="16"/>
    <n v="9000"/>
    <s v="Petrol"/>
    <n v="4"/>
    <n v="80"/>
  </r>
  <r>
    <x v="12"/>
    <s v="Scrum"/>
    <s v="660cc Inline-3"/>
    <n v="660"/>
    <n v="63"/>
    <n v="130"/>
    <n v="15"/>
    <n v="10000"/>
    <s v="Petrol"/>
    <n v="4"/>
    <n v="85"/>
  </r>
  <r>
    <x v="2"/>
    <s v="Clipper"/>
    <s v="660cc Inline-3"/>
    <n v="659"/>
    <m/>
    <n v="110"/>
    <n v="18.5"/>
    <n v="10000"/>
    <s v="Petrol"/>
    <n v="4"/>
    <n v="62"/>
  </r>
  <r>
    <x v="12"/>
    <s v="Scrum Wagon"/>
    <s v="0.66L Inline-3"/>
    <n v="657"/>
    <n v="64"/>
    <n v="120"/>
    <n v="15.5"/>
    <n v="11000"/>
    <s v="Petrol"/>
    <n v="4"/>
    <n v="95"/>
  </r>
  <r>
    <x v="15"/>
    <s v="Nano GenX"/>
    <s v="624cc MPFI"/>
    <n v="624"/>
    <n v="37"/>
    <n v="105"/>
    <n v="29"/>
    <n v="4000"/>
    <s v="Petrol"/>
    <n v="4"/>
    <n v="51"/>
  </r>
  <r>
    <x v="12"/>
    <s v="Carol P360"/>
    <s v="0.36L Inline-2"/>
    <n v="360"/>
    <n v="26"/>
    <n v="85"/>
    <n v="35"/>
    <n v="9000"/>
    <s v="Petrol"/>
    <n v="4"/>
    <n v="45"/>
  </r>
  <r>
    <x v="3"/>
    <s v="Up!"/>
    <s v="Electric"/>
    <m/>
    <n v="82"/>
    <n v="160"/>
    <n v="13"/>
    <n v="15000"/>
    <s v="Petrol"/>
    <n v="4"/>
    <n v="95"/>
  </r>
  <r>
    <x v="3"/>
    <s v="Lupo"/>
    <s v="1.4L I3 Gas / 1.2L Diesel I3"/>
    <m/>
    <n v="68"/>
    <n v="170"/>
    <n v="14.3"/>
    <n v="15000"/>
    <s v="Petrol"/>
    <n v="4"/>
    <n v="120"/>
  </r>
  <r>
    <x v="3"/>
    <s v="Golf Cabriolet"/>
    <s v="1.2L I4 Turbo / 2.0L I4 Turbo"/>
    <m/>
    <n v="158"/>
    <n v="217"/>
    <n v="8.4"/>
    <n v="30000"/>
    <s v="Petrol"/>
    <n v="4"/>
    <n v="200"/>
  </r>
  <r>
    <x v="3"/>
    <s v="T-Roc Cabriolet"/>
    <s v="1.0L I3 Turbo / 1.5L I4 Turbo"/>
    <m/>
    <n v="132"/>
    <n v="205"/>
    <n v="9.6"/>
    <n v="35000"/>
    <s v="Petrol"/>
    <n v="4"/>
    <n v="250"/>
  </r>
  <r>
    <x v="3"/>
    <s v="Up! e-up!"/>
    <s v="Electric"/>
    <m/>
    <n v="83"/>
    <n v="130"/>
    <n v="11.9"/>
    <n v="23000"/>
    <s v="Electric"/>
    <n v="4"/>
    <n v="210"/>
  </r>
  <r>
    <x v="25"/>
    <s v="Panamera E-Hybrid"/>
    <s v="2.9L V6 + Electric Motor"/>
    <m/>
    <m/>
    <n v="280"/>
    <n v="4.4000000000000004"/>
    <n v="115000"/>
    <s v="Petrol/Hybrid"/>
    <n v="4"/>
    <n v="700"/>
  </r>
  <r>
    <x v="25"/>
    <s v="Panamera 4 E-Hybrid Sport Turismo"/>
    <s v="2.9L V6 + Electric Motor"/>
    <m/>
    <m/>
    <n v="280"/>
    <n v="4.4000000000000004"/>
    <n v="120000"/>
    <s v="Petrol/Hybrid"/>
    <n v="4"/>
    <n v="700"/>
  </r>
  <r>
    <x v="25"/>
    <s v="Panamera Turbo S E-Hybrid"/>
    <s v="4.0L V8 + Electric Motor"/>
    <m/>
    <m/>
    <n v="315"/>
    <n v="3.2"/>
    <n v="190000"/>
    <s v="Petrol/Hybrid"/>
    <n v="4"/>
    <n v="870"/>
  </r>
  <r>
    <x v="25"/>
    <s v="Taycan"/>
    <s v="Dual Electric Motors"/>
    <m/>
    <n v="402"/>
    <n v="230"/>
    <n v="5.4"/>
    <n v="86700"/>
    <s v="Electric"/>
    <n v="4"/>
    <n v="344"/>
  </r>
  <r>
    <x v="25"/>
    <s v="Taycan 4S"/>
    <s v="Dual Electric Motors"/>
    <m/>
    <n v="522"/>
    <n v="250"/>
    <n v="4"/>
    <n v="103800"/>
    <s v="Electric"/>
    <n v="4"/>
    <n v="640"/>
  </r>
  <r>
    <x v="25"/>
    <s v="Taycan Turbo"/>
    <s v="Dual Electric Motors"/>
    <m/>
    <n v="670"/>
    <n v="260"/>
    <n v="3.2"/>
    <n v="150900"/>
    <s v="Electric"/>
    <n v="4"/>
    <n v="850"/>
  </r>
  <r>
    <x v="25"/>
    <s v="Taycan Turbo S"/>
    <s v="Dual Electric Motors"/>
    <m/>
    <n v="750"/>
    <n v="260"/>
    <n v="2.8"/>
    <n v="185000"/>
    <s v="Electric"/>
    <n v="4"/>
    <n v="1050"/>
  </r>
  <r>
    <x v="25"/>
    <s v="Taycan GTS"/>
    <s v="Dual Electric Motors"/>
    <m/>
    <n v="590"/>
    <n v="250"/>
    <n v="3.5"/>
    <n v="132750"/>
    <s v="Electric"/>
    <n v="4"/>
    <n v="850"/>
  </r>
  <r>
    <x v="25"/>
    <s v="Taycan Base"/>
    <s v="Dual Electric Motors"/>
    <m/>
    <n v="321"/>
    <n v="230"/>
    <n v="5.4"/>
    <n v="86700"/>
    <s v="Electric"/>
    <n v="4"/>
    <n v="345"/>
  </r>
  <r>
    <x v="25"/>
    <s v="Taycan Cross Turismo 4"/>
    <s v="Dual Electric Motors"/>
    <m/>
    <n v="375"/>
    <n v="240"/>
    <n v="5.0999999999999996"/>
    <n v="94800"/>
    <s v="Electric"/>
    <n v="4"/>
    <n v="500"/>
  </r>
  <r>
    <x v="25"/>
    <s v="Taycan Cross Turismo GTS"/>
    <s v="Dual Electric Motors"/>
    <m/>
    <n v="590"/>
    <n v="250"/>
    <n v="3.8"/>
    <n v="139400"/>
    <s v="Electric"/>
    <n v="4"/>
    <n v="620"/>
  </r>
  <r>
    <x v="25"/>
    <s v="Taycan Sport Turismo Base"/>
    <s v="Dual Electric Motors"/>
    <m/>
    <n v="375"/>
    <n v="230"/>
    <n v="5.4"/>
    <n v="90500"/>
    <s v="Electric"/>
    <n v="4"/>
    <n v="500"/>
  </r>
  <r>
    <x v="25"/>
    <s v="Taycan Sport Turismo GTS"/>
    <s v="Dual Electric Motors"/>
    <m/>
    <n v="590"/>
    <n v="250"/>
    <n v="3.7"/>
    <n v="136700"/>
    <s v="Electric"/>
    <n v="4"/>
    <n v="620"/>
  </r>
  <r>
    <x v="25"/>
    <s v="Taycan Turbo S Cross Turismo"/>
    <s v="Dual Electric Motors"/>
    <m/>
    <n v="750"/>
    <n v="260"/>
    <n v="2.9"/>
    <n v="190000"/>
    <s v="Electric"/>
    <n v="4"/>
    <n v="1050"/>
  </r>
  <r>
    <x v="19"/>
    <s v="Roadster 2"/>
    <s v="Quad Electric Motors"/>
    <m/>
    <n v="1288"/>
    <n v="402"/>
    <n v="1.9"/>
    <n v="200000"/>
    <s v="Electric"/>
    <n v="4"/>
    <n v="10000"/>
  </r>
  <r>
    <x v="1"/>
    <s v="Bronco"/>
    <s v="2.3L EcoBoost / 2.7L V6"/>
    <m/>
    <n v="292"/>
    <n v="200"/>
    <n v="7.5"/>
    <n v="42500"/>
    <s v="Petrol"/>
    <n v="4"/>
    <n v="500"/>
  </r>
  <r>
    <x v="13"/>
    <s v="i-MiEV (Electric)"/>
    <s v="Electric Motor"/>
    <m/>
    <n v="66"/>
    <n v="130"/>
    <n v="15"/>
    <n v="24500"/>
    <s v="Electric"/>
    <n v="4"/>
    <n v="196"/>
  </r>
  <r>
    <x v="6"/>
    <s v="Sierra 2500HD Pro"/>
    <s v="6.6L V8 engine"/>
    <n v="6600"/>
    <n v="401"/>
    <n v="170"/>
    <n v="7.7"/>
    <n v="60000"/>
    <s v="Petrol"/>
    <n v="3"/>
    <n v="629"/>
  </r>
  <r>
    <x v="6"/>
    <s v="Sierra 3500HD Pro"/>
    <s v="6.6L V8 engine"/>
    <n v="6600"/>
    <n v="401"/>
    <n v="170"/>
    <n v="7.8"/>
    <n v="62000"/>
    <s v="Petrol"/>
    <n v="3"/>
    <n v="629"/>
  </r>
  <r>
    <x v="6"/>
    <s v="Sierra 1500 Pro"/>
    <s v="4.3L V6 engine"/>
    <n v="4300"/>
    <n v="285"/>
    <n v="180"/>
    <n v="7.5"/>
    <n v="37700"/>
    <s v="Petrol"/>
    <n v="3"/>
    <n v="413"/>
  </r>
  <r>
    <x v="2"/>
    <s v="Atlas"/>
    <s v="3.0L Inline-4 Diesel"/>
    <n v="2999"/>
    <m/>
    <n v="130"/>
    <n v="18"/>
    <n v="35000"/>
    <s v="Diesel"/>
    <n v="3"/>
    <n v="300"/>
  </r>
  <r>
    <x v="2"/>
    <s v="NT400 Cabstar"/>
    <s v="3.0L Inline-4 Diesel"/>
    <n v="2953"/>
    <m/>
    <n v="140"/>
    <n v="15"/>
    <n v="35000"/>
    <s v="Diesel"/>
    <n v="3"/>
    <n v="350"/>
  </r>
  <r>
    <x v="2"/>
    <s v="Cabstar"/>
    <s v="2.5L Inline-4 Diesel"/>
    <n v="2488"/>
    <m/>
    <n v="145"/>
    <n v="14.8"/>
    <n v="27000"/>
    <s v="Diesel"/>
    <n v="3"/>
    <n v="350"/>
  </r>
  <r>
    <x v="2"/>
    <s v="NV400"/>
    <s v="2.3L Inline-4 Diesel"/>
    <n v="2298"/>
    <m/>
    <n v="150"/>
    <n v="15"/>
    <n v="40000"/>
    <s v="Diesel"/>
    <n v="3"/>
    <n v="360"/>
  </r>
  <r>
    <x v="17"/>
    <s v="Boxer"/>
    <s v="Diesel I4"/>
    <n v="2200"/>
    <n v="140"/>
    <n v="160"/>
    <n v="11"/>
    <n v="32000"/>
    <s v="Diesel"/>
    <n v="3"/>
    <n v="340"/>
  </r>
  <r>
    <x v="17"/>
    <s v="Boxer L2H2"/>
    <s v="Inline-4"/>
    <n v="2200"/>
    <n v="130"/>
    <n v="140"/>
    <n v="14"/>
    <n v="35000"/>
    <s v="Diesel"/>
    <n v="3"/>
    <n v="350"/>
  </r>
  <r>
    <x v="12"/>
    <s v="Bongo Van"/>
    <s v="2.0L Inline-4"/>
    <n v="2000"/>
    <n v="100"/>
    <n v="160"/>
    <n v="14"/>
    <n v="20000"/>
    <s v="Petrol/Diesel"/>
    <n v="3"/>
    <n v="140"/>
  </r>
  <r>
    <x v="17"/>
    <s v="Expert"/>
    <s v="Diesel I4"/>
    <n v="1997"/>
    <n v="120"/>
    <n v="180"/>
    <n v="10"/>
    <n v="30000"/>
    <s v="Diesel"/>
    <n v="3"/>
    <n v="300"/>
  </r>
  <r>
    <x v="17"/>
    <s v="Expert L2H1"/>
    <s v="Inline-4"/>
    <n v="1997"/>
    <n v="120"/>
    <n v="160"/>
    <n v="13"/>
    <n v="30000"/>
    <s v="Diesel"/>
    <n v="3"/>
    <n v="320"/>
  </r>
  <r>
    <x v="3"/>
    <s v="Crafter"/>
    <s v="2.0L Turbo Diesel I4"/>
    <n v="1968"/>
    <n v="140"/>
    <n v="160"/>
    <n v="13"/>
    <n v="40000"/>
    <s v="Diesel"/>
    <n v="3"/>
    <n v="410"/>
  </r>
  <r>
    <x v="3"/>
    <s v="ID. Buzz Cargo"/>
    <s v="Electric"/>
    <m/>
    <n v="204"/>
    <n v="145"/>
    <n v="10.199999999999999"/>
    <n v="55000"/>
    <s v="Electric"/>
    <n v="3"/>
    <n v="310"/>
  </r>
  <r>
    <x v="18"/>
    <s v="Volvo FH16"/>
    <s v="16.1L I6 Turbo Diesel"/>
    <n v="16100"/>
    <n v="750"/>
    <n v="120"/>
    <n v="14.5"/>
    <n v="160000"/>
    <s v="Diesel"/>
    <n v="2"/>
    <n v="3500"/>
  </r>
  <r>
    <x v="18"/>
    <s v="Volvo FH"/>
    <s v="13.0L I6 Turbo Diesel"/>
    <n v="13000"/>
    <n v="540"/>
    <n v="120"/>
    <n v="15"/>
    <n v="120000"/>
    <s v="Diesel"/>
    <n v="2"/>
    <n v="2600"/>
  </r>
  <r>
    <x v="18"/>
    <s v="Volvo FMX"/>
    <s v="13.0L I6 Turbo Diesel"/>
    <n v="13000"/>
    <n v="500"/>
    <n v="110"/>
    <n v="16.5"/>
    <n v="110000"/>
    <s v="Diesel"/>
    <n v="2"/>
    <n v="2500"/>
  </r>
  <r>
    <x v="18"/>
    <s v="Volvo FM"/>
    <s v="12.8L I6 Turbo Diesel"/>
    <n v="12800"/>
    <n v="460"/>
    <n v="110"/>
    <n v="16"/>
    <n v="100000"/>
    <s v="Diesel"/>
    <n v="2"/>
    <n v="2200"/>
  </r>
  <r>
    <x v="18"/>
    <s v="Volvo VNL"/>
    <s v="12.8L I6 Turbo Diesel"/>
    <n v="12800"/>
    <n v="500"/>
    <n v="120"/>
    <n v="15"/>
    <n v="125000"/>
    <s v="Diesel"/>
    <n v="2"/>
    <n v="2400"/>
  </r>
  <r>
    <x v="18"/>
    <s v="Volvo VNR"/>
    <s v="12.8L I6 Turbo Diesel"/>
    <n v="12800"/>
    <n v="400"/>
    <n v="110"/>
    <n v="17"/>
    <n v="95000"/>
    <s v="Diesel"/>
    <n v="2"/>
    <n v="1800"/>
  </r>
  <r>
    <x v="18"/>
    <s v="Volvo VHD"/>
    <s v="12.8L I6 Turbo Diesel"/>
    <n v="12800"/>
    <n v="500"/>
    <n v="100"/>
    <n v="18"/>
    <n v="120000"/>
    <s v="Diesel"/>
    <n v="2"/>
    <n v="2500"/>
  </r>
  <r>
    <x v="30"/>
    <s v="Chiron"/>
    <s v="8.0L Quad-Turbo W16"/>
    <n v="7993"/>
    <n v="1500"/>
    <n v="420"/>
    <n v="2.5"/>
    <n v="3000000"/>
    <s v="Petrol"/>
    <n v="2"/>
    <n v="1600"/>
  </r>
  <r>
    <x v="30"/>
    <s v="Chiron Pur Sport"/>
    <s v="8.0L Quad-Turbo W16"/>
    <n v="7993"/>
    <n v="1500"/>
    <n v="350"/>
    <n v="2.2999999999999998"/>
    <n v="3300000"/>
    <s v="Petrol"/>
    <n v="2"/>
    <n v="1600"/>
  </r>
  <r>
    <x v="30"/>
    <s v="Chiron Super Sport"/>
    <s v="8.0L Quad-Turbo W16"/>
    <n v="7993"/>
    <n v="1600"/>
    <n v="490"/>
    <n v="2.4"/>
    <n v="3500000"/>
    <s v="Petrol"/>
    <n v="2"/>
    <n v="1600"/>
  </r>
  <r>
    <x v="30"/>
    <s v="Chiron Sport"/>
    <s v="8.0L Quad-Turbo W16"/>
    <n v="7993"/>
    <n v="1500"/>
    <n v="420"/>
    <n v="2.4"/>
    <n v="3300000"/>
    <s v="Petrol"/>
    <n v="2"/>
    <n v="1600"/>
  </r>
  <r>
    <x v="30"/>
    <s v="Chiron Noire"/>
    <s v="8.0L Quad-Turbo W16"/>
    <n v="7993"/>
    <n v="1500"/>
    <n v="420"/>
    <n v="2.5"/>
    <n v="3300000"/>
    <s v="Petrol"/>
    <n v="2"/>
    <n v="1600"/>
  </r>
  <r>
    <x v="30"/>
    <s v="Divo"/>
    <s v="8.0L Quad-Turbo W16"/>
    <n v="7993"/>
    <n v="1500"/>
    <n v="380"/>
    <n v="2.4"/>
    <n v="5800000"/>
    <s v="Petrol"/>
    <n v="2"/>
    <n v="1600"/>
  </r>
  <r>
    <x v="30"/>
    <s v="Centodieci"/>
    <s v="8.0L Quad-Turbo W16"/>
    <n v="7993"/>
    <n v="1600"/>
    <n v="380"/>
    <n v="2.4"/>
    <n v="9000000"/>
    <s v="Petrol"/>
    <n v="2"/>
    <n v="1600"/>
  </r>
  <r>
    <x v="30"/>
    <s v="La Voiture Noire"/>
    <s v="8.0L Quad-Turbo W16"/>
    <n v="7993"/>
    <n v="1500"/>
    <n v="420"/>
    <n v="2.5"/>
    <n v="18000000"/>
    <s v="Petrol"/>
    <n v="2"/>
    <n v="1600"/>
  </r>
  <r>
    <x v="30"/>
    <s v="Bolide"/>
    <s v="8.0L Quad-Turbo W16"/>
    <n v="7993"/>
    <n v="1850"/>
    <n v="500"/>
    <n v="2.2000000000000002"/>
    <n v="4500000"/>
    <s v="Petrol"/>
    <n v="2"/>
    <n v="1600"/>
  </r>
  <r>
    <x v="30"/>
    <s v="Mistral"/>
    <s v="8.0L Quad-Turbo W16"/>
    <n v="7993"/>
    <n v="1600"/>
    <n v="420"/>
    <n v="2.4"/>
    <n v="5000000"/>
    <s v="Petrol"/>
    <n v="2"/>
    <n v="1600"/>
  </r>
  <r>
    <x v="18"/>
    <s v="Volvo FE"/>
    <s v="7.7L I6 Turbo Diesel"/>
    <n v="7700"/>
    <n v="280"/>
    <n v="90"/>
    <n v="20"/>
    <n v="85000"/>
    <s v="Diesel"/>
    <n v="2"/>
    <n v="1200"/>
  </r>
  <r>
    <x v="13"/>
    <s v="Fuso Fighter (Truck)"/>
    <s v="7.5L Diesel"/>
    <n v="7500"/>
    <n v="240"/>
    <n v="120"/>
    <m/>
    <n v="80000"/>
    <s v="Diesel"/>
    <n v="2"/>
    <n v="686"/>
  </r>
  <r>
    <x v="1"/>
    <s v="E-Series Cutaway"/>
    <s v="V8 Gasoline Engine"/>
    <n v="7300"/>
    <n v="350"/>
    <n v="140"/>
    <n v="13"/>
    <n v="36000"/>
    <s v="Petrol"/>
    <n v="2"/>
    <n v="569"/>
  </r>
  <r>
    <x v="23"/>
    <s v="VENENO ROADSTER"/>
    <s v="V12"/>
    <n v="6498"/>
    <n v="750"/>
    <n v="356"/>
    <n v="2.9"/>
    <n v="4500000"/>
    <s v="Petrol"/>
    <n v="2"/>
    <n v="690"/>
  </r>
  <r>
    <x v="23"/>
    <s v="SIAN"/>
    <s v="V12"/>
    <n v="6498"/>
    <n v="819"/>
    <n v="350"/>
    <n v="2.8"/>
    <n v="2800000"/>
    <s v="Hybrid"/>
    <n v="2"/>
    <n v="720"/>
  </r>
  <r>
    <x v="23"/>
    <s v="AVENTADOR SVJ"/>
    <s v="V12"/>
    <n v="6498"/>
    <n v="759"/>
    <n v="350"/>
    <n v="2.8"/>
    <n v="518000"/>
    <s v="Petrol"/>
    <n v="2"/>
    <n v="720"/>
  </r>
  <r>
    <x v="23"/>
    <s v="AVENTADOR SV"/>
    <s v="V12"/>
    <n v="6498"/>
    <n v="740"/>
    <n v="350"/>
    <n v="2.8"/>
    <n v="493000"/>
    <s v="Petrol"/>
    <n v="2"/>
    <n v="690"/>
  </r>
  <r>
    <x v="23"/>
    <s v="AVENTADOR ROADSTER"/>
    <s v="V12"/>
    <n v="6498"/>
    <n v="700"/>
    <n v="350"/>
    <n v="3"/>
    <n v="445000"/>
    <s v="Petrol"/>
    <n v="2"/>
    <n v="690"/>
  </r>
  <r>
    <x v="23"/>
    <s v="AVENTADOR S"/>
    <s v="V12"/>
    <n v="6498"/>
    <n v="740"/>
    <n v="350"/>
    <n v="2.9"/>
    <n v="421000"/>
    <s v="Petrol"/>
    <n v="2"/>
    <n v="690"/>
  </r>
  <r>
    <x v="23"/>
    <s v="AVENTADOR ULTIMAE"/>
    <s v="V12"/>
    <n v="6498"/>
    <n v="769"/>
    <n v="355"/>
    <n v="2.8"/>
    <n v="545000"/>
    <s v="Petrol"/>
    <n v="2"/>
    <n v="720"/>
  </r>
  <r>
    <x v="23"/>
    <s v="AVENTADOR SVJ ROADSTER"/>
    <s v="V12"/>
    <n v="6498"/>
    <n v="759"/>
    <n v="350"/>
    <n v="2.9"/>
    <n v="573000"/>
    <s v="Petrol"/>
    <n v="2"/>
    <n v="720"/>
  </r>
  <r>
    <x v="23"/>
    <s v="AVENTADOR LP 780-4 ULTIMATE"/>
    <s v="V12"/>
    <n v="6498"/>
    <n v="769"/>
    <n v="355"/>
    <n v="2.8"/>
    <n v="545000"/>
    <s v="Petrol"/>
    <n v="2"/>
    <n v="720"/>
  </r>
  <r>
    <x v="23"/>
    <s v="AVENTADOR SVJ XAGO"/>
    <s v="V12"/>
    <n v="6498"/>
    <n v="759"/>
    <n v="350"/>
    <n v="2.9"/>
    <n v="603000"/>
    <s v="Petrol"/>
    <n v="2"/>
    <n v="720"/>
  </r>
  <r>
    <x v="23"/>
    <s v="AVENTADOR LP 780-4 ULTIMATE ROADSTER"/>
    <s v="V12"/>
    <n v="6498"/>
    <n v="769"/>
    <n v="355"/>
    <n v="2.8"/>
    <n v="573000"/>
    <s v="Petrol"/>
    <n v="2"/>
    <n v="720"/>
  </r>
  <r>
    <x v="29"/>
    <s v="812 GTS"/>
    <s v="V12"/>
    <n v="6496"/>
    <n v="789"/>
    <n v="340"/>
    <n v="2.9"/>
    <n v="350000"/>
    <s v="Petrol"/>
    <n v="2"/>
    <n v="718"/>
  </r>
  <r>
    <x v="29"/>
    <s v="MONZA SP2"/>
    <s v="V12"/>
    <n v="6496"/>
    <n v="789"/>
    <n v="340"/>
    <n v="2.9"/>
    <n v="1700000"/>
    <s v="Petrol"/>
    <n v="2"/>
    <n v="719"/>
  </r>
  <r>
    <x v="24"/>
    <s v="VALKYRIE"/>
    <s v="V12"/>
    <n v="6496"/>
    <n v="1160"/>
    <n v="402"/>
    <n v="2.5"/>
    <n v="3200000"/>
    <s v="Hybrid"/>
    <n v="2"/>
    <n v="900"/>
  </r>
  <r>
    <x v="5"/>
    <s v="Corvette"/>
    <s v="6.2L V8 Gasoline"/>
    <n v="6200"/>
    <n v="495"/>
    <n v="312"/>
    <n v="3"/>
    <n v="65895"/>
    <s v="Petrol"/>
    <n v="2"/>
    <n v="637"/>
  </r>
  <r>
    <x v="5"/>
    <s v="Corvette Stingray"/>
    <s v="6.2L V8 Gasoline"/>
    <n v="6200"/>
    <n v="495"/>
    <n v="312"/>
    <n v="3"/>
    <n v="65895"/>
    <s v="Petrol"/>
    <n v="2"/>
    <n v="637"/>
  </r>
  <r>
    <x v="5"/>
    <s v="Corvette Grand Sport"/>
    <s v="6.2L V8 Gasoline"/>
    <n v="6200"/>
    <n v="460"/>
    <n v="290"/>
    <n v="3.9"/>
    <n v="65900"/>
    <s v="Petrol"/>
    <n v="2"/>
    <n v="630"/>
  </r>
  <r>
    <x v="24"/>
    <s v="VANQUISH"/>
    <s v="V12"/>
    <n v="5935"/>
    <n v="580"/>
    <n v="324"/>
    <n v="3.6"/>
    <n v="294000"/>
    <s v="Petrol"/>
    <n v="2"/>
    <n v="630"/>
  </r>
  <r>
    <x v="2"/>
    <s v="NV3500"/>
    <s v="5.6L V8"/>
    <n v="5552"/>
    <m/>
    <n v="170"/>
    <n v="9"/>
    <n v="42000"/>
    <s v="Petrol"/>
    <n v="2"/>
    <n v="525"/>
  </r>
  <r>
    <x v="14"/>
    <s v="AUDI R8 Gt"/>
    <s v="V10"/>
    <n v="5204"/>
    <n v="602"/>
    <n v="320"/>
    <n v="3.6"/>
    <n v="253290"/>
    <s v="Petrol"/>
    <n v="2"/>
    <n v="560"/>
  </r>
  <r>
    <x v="24"/>
    <s v="DBS SUPERLEGGERA"/>
    <s v="V12"/>
    <n v="5204"/>
    <n v="715"/>
    <n v="340"/>
    <n v="3.4"/>
    <n v="316000"/>
    <s v="Petrol"/>
    <n v="2"/>
    <n v="900"/>
  </r>
  <r>
    <x v="24"/>
    <s v="VICTOR"/>
    <s v="V12"/>
    <n v="5204"/>
    <n v="836"/>
    <n v="320"/>
    <n v="2.8"/>
    <n v="1300000"/>
    <s v="Petrol"/>
    <n v="2"/>
    <n v="821"/>
  </r>
  <r>
    <x v="23"/>
    <s v="HURACAN PERFORMANTE"/>
    <s v="V10"/>
    <n v="5204"/>
    <n v="640"/>
    <n v="325"/>
    <n v="2.9"/>
    <n v="274000"/>
    <s v="Petrol"/>
    <n v="2"/>
    <n v="600"/>
  </r>
  <r>
    <x v="23"/>
    <s v="HURACAN EVO"/>
    <s v="V10"/>
    <n v="5204"/>
    <n v="640"/>
    <n v="325"/>
    <n v="2.9"/>
    <n v="261000"/>
    <s v="Petrol"/>
    <n v="2"/>
    <n v="600"/>
  </r>
  <r>
    <x v="23"/>
    <s v="HURACAN SPYDER"/>
    <s v="V10"/>
    <n v="5204"/>
    <n v="610"/>
    <n v="325"/>
    <n v="3.4"/>
    <n v="287000"/>
    <s v="Petrol"/>
    <n v="2"/>
    <n v="600"/>
  </r>
  <r>
    <x v="23"/>
    <s v="HURACAN  PERFORMANTE SPYDER"/>
    <s v="V10"/>
    <n v="5204"/>
    <n v="640"/>
    <n v="325"/>
    <n v="3.1"/>
    <n v="308000"/>
    <s v="Petrol"/>
    <n v="2"/>
    <n v="600"/>
  </r>
  <r>
    <x v="23"/>
    <s v="HURACAN EVO SPYDER"/>
    <s v="V10"/>
    <n v="5204"/>
    <n v="640"/>
    <n v="325"/>
    <n v="3.1"/>
    <n v="287000"/>
    <s v="Petrol"/>
    <n v="2"/>
    <n v="600"/>
  </r>
  <r>
    <x v="23"/>
    <s v="HURACAN EVO RWD"/>
    <s v="V10"/>
    <n v="5204"/>
    <n v="610"/>
    <n v="325"/>
    <n v="3.3"/>
    <n v="258000"/>
    <s v="Petrol"/>
    <n v="2"/>
    <n v="560"/>
  </r>
  <r>
    <x v="23"/>
    <s v="HURACAN STO"/>
    <s v="V10"/>
    <n v="5204"/>
    <n v="640"/>
    <n v="325"/>
    <n v="3"/>
    <n v="327000"/>
    <s v="Petrol"/>
    <n v="2"/>
    <n v="565"/>
  </r>
  <r>
    <x v="23"/>
    <s v="HURACAN EVO RWD SPYDER"/>
    <s v="V10"/>
    <n v="5204"/>
    <n v="610"/>
    <n v="325"/>
    <n v="3.3"/>
    <n v="273000"/>
    <s v="Petrol"/>
    <n v="2"/>
    <n v="600"/>
  </r>
  <r>
    <x v="23"/>
    <s v="HURACAN STO EVO"/>
    <s v="V10"/>
    <n v="5204"/>
    <n v="640"/>
    <n v="325"/>
    <n v="3"/>
    <n v="342000"/>
    <s v="Petrol"/>
    <n v="2"/>
    <n v="565"/>
  </r>
  <r>
    <x v="14"/>
    <s v="R8 V10 PLUS"/>
    <s v="V10"/>
    <n v="5204"/>
    <n v="610"/>
    <n v="330"/>
    <n v="3.2"/>
    <n v="194000"/>
    <s v="Petrol"/>
    <n v="2"/>
    <n v="560"/>
  </r>
  <r>
    <x v="1"/>
    <s v="Mustang Shelby GT500"/>
    <s v="Supercharged V8"/>
    <n v="5200"/>
    <n v="760"/>
    <n v="290"/>
    <n v="3.5"/>
    <n v="79420"/>
    <s v="Petrol"/>
    <n v="2"/>
    <n v="847"/>
  </r>
  <r>
    <x v="1"/>
    <s v="Mustang Shelby GT350"/>
    <s v="Naturally Aspirated V8"/>
    <n v="5200"/>
    <n v="526"/>
    <n v="280"/>
    <n v="4"/>
    <n v="59140"/>
    <s v="Petrol"/>
    <n v="2"/>
    <n v="582"/>
  </r>
  <r>
    <x v="18"/>
    <s v="Volvo FL"/>
    <s v="5.1L I4 Turbo Diesel"/>
    <n v="5100"/>
    <n v="180"/>
    <n v="80"/>
    <n v="22"/>
    <n v="75000"/>
    <s v="Diesel"/>
    <n v="2"/>
    <n v="800"/>
  </r>
  <r>
    <x v="24"/>
    <s v="VALHALLA"/>
    <s v="V8"/>
    <n v="3996"/>
    <n v="1000"/>
    <n v="362"/>
    <n v="2.5"/>
    <n v="1100000"/>
    <s v="Hybrid"/>
    <n v="2"/>
    <n v="1000"/>
  </r>
  <r>
    <x v="24"/>
    <s v="VANTAGE "/>
    <s v="V8"/>
    <n v="3996"/>
    <n v="503"/>
    <n v="313"/>
    <n v="3.6"/>
    <n v="142000"/>
    <s v="Petrol"/>
    <n v="2"/>
    <n v="685"/>
  </r>
  <r>
    <x v="25"/>
    <s v="911 GT3"/>
    <s v="4.0L Naturally Aspirated Flat-6"/>
    <n v="3996"/>
    <n v="502"/>
    <n v="318"/>
    <n v="3.4"/>
    <n v="161100"/>
    <s v="Petrol"/>
    <n v="2"/>
    <n v="469"/>
  </r>
  <r>
    <x v="25"/>
    <s v="911 GT3 RS"/>
    <s v="4.0L Naturally Aspirated Flat-6"/>
    <n v="3996"/>
    <n v="518"/>
    <n v="296"/>
    <n v="3.2"/>
    <n v="241300"/>
    <s v="Petrol"/>
    <n v="2"/>
    <n v="465"/>
  </r>
  <r>
    <x v="25"/>
    <s v="718 Cayman GT4 RS"/>
    <s v="4.0L Naturally Aspirated Flat-6"/>
    <n v="3996"/>
    <n v="493"/>
    <n v="315"/>
    <n v="3.2"/>
    <n v="141700"/>
    <s v="Petrol"/>
    <n v="2"/>
    <n v="450"/>
  </r>
  <r>
    <x v="25"/>
    <s v="911 GT3 Touring"/>
    <s v="4.0L Naturally Aspirated Flat-6"/>
    <n v="3996"/>
    <n v="502"/>
    <n v="318"/>
    <n v="3.9"/>
    <n v="170000"/>
    <s v="Petrol"/>
    <n v="2"/>
    <n v="470"/>
  </r>
  <r>
    <x v="25"/>
    <s v="911 GT3 RS Clubsport"/>
    <s v="4.0L Naturally Aspirated Flat-6"/>
    <n v="3996"/>
    <n v="525"/>
    <n v="296"/>
    <n v="3.2"/>
    <n v="223800"/>
    <s v="Petrol"/>
    <n v="2"/>
    <n v="465"/>
  </r>
  <r>
    <x v="25"/>
    <s v="911 GT4 RS"/>
    <s v="4.0L Naturally Aspirated Flat-6"/>
    <n v="3996"/>
    <n v="500"/>
    <n v="315"/>
    <n v="3.4"/>
    <n v="222000"/>
    <s v="Petrol"/>
    <n v="2"/>
    <n v="450"/>
  </r>
  <r>
    <x v="25"/>
    <s v="718 Cayman GT4"/>
    <s v="4.0L Naturally Aspirated Flat-6"/>
    <n v="3995"/>
    <n v="414"/>
    <n v="302"/>
    <n v="4.2"/>
    <n v="100200"/>
    <s v="Petrol"/>
    <n v="2"/>
    <n v="420"/>
  </r>
  <r>
    <x v="25"/>
    <s v="718 Boxster GTS"/>
    <s v="4.0L Naturally Aspirated Flat-6"/>
    <n v="3995"/>
    <n v="394"/>
    <n v="293"/>
    <n v="4.3"/>
    <n v="90300"/>
    <s v="Petrol"/>
    <n v="2"/>
    <n v="430"/>
  </r>
  <r>
    <x v="25"/>
    <s v="718 Spyder"/>
    <s v="4.0L Naturally Aspirated Flat-6"/>
    <n v="3995"/>
    <n v="414"/>
    <n v="301"/>
    <n v="4.0999999999999996"/>
    <n v="98300"/>
    <s v="Petrol"/>
    <n v="2"/>
    <n v="420"/>
  </r>
  <r>
    <x v="22"/>
    <s v="Mclaren 720s"/>
    <s v="V8"/>
    <n v="3994"/>
    <n v="710"/>
    <n v="341"/>
    <n v="2.9"/>
    <n v="499000"/>
    <s v="Petrol"/>
    <n v="2"/>
    <n v="770"/>
  </r>
  <r>
    <x v="29"/>
    <s v="SF90 STRADALE"/>
    <s v="V8"/>
    <n v="3990"/>
    <n v="963"/>
    <n v="340"/>
    <n v="2.5"/>
    <n v="1100000"/>
    <s v="Plug-in Hybrid"/>
    <n v="2"/>
    <n v="800"/>
  </r>
  <r>
    <x v="24"/>
    <s v="VANTAGE F1"/>
    <s v="V8"/>
    <n v="3982"/>
    <n v="656"/>
    <n v="314"/>
    <n v="3.6"/>
    <n v="193440"/>
    <s v="Petrol"/>
    <n v="2"/>
    <n v="685"/>
  </r>
  <r>
    <x v="2"/>
    <s v="NV2500"/>
    <s v="4.0L V6"/>
    <n v="3954"/>
    <m/>
    <n v="160"/>
    <n v="10"/>
    <n v="36000"/>
    <s v="Petrol"/>
    <n v="2"/>
    <n v="385"/>
  </r>
  <r>
    <x v="29"/>
    <s v="F8 TRIBUTO"/>
    <s v="V8"/>
    <n v="3900"/>
    <n v="710"/>
    <n v="340"/>
    <n v="2.9"/>
    <n v="280000"/>
    <s v="Petrol"/>
    <n v="2"/>
    <n v="770"/>
  </r>
  <r>
    <x v="29"/>
    <s v="F8 SPIDER"/>
    <s v="V8"/>
    <n v="3900"/>
    <n v="710"/>
    <n v="340"/>
    <n v="2.9"/>
    <n v="280000"/>
    <s v="Petrol"/>
    <n v="2"/>
    <n v="770"/>
  </r>
  <r>
    <x v="2"/>
    <s v="GT-R NISMO"/>
    <s v="3.8L Twin-Turbo V6"/>
    <n v="3799"/>
    <m/>
    <n v="330"/>
    <n v="2.9"/>
    <n v="220000"/>
    <s v="Petrol"/>
    <n v="2"/>
    <n v="652"/>
  </r>
  <r>
    <x v="2"/>
    <s v="GT-R50 by Italdesign"/>
    <s v="3.8L Twin-Turbo V6"/>
    <n v="3799"/>
    <m/>
    <n v="315"/>
    <n v="2.5"/>
    <n v="1100000"/>
    <s v="Petrol"/>
    <n v="2"/>
    <n v="780"/>
  </r>
  <r>
    <x v="2"/>
    <s v="GT-R V-Spec"/>
    <s v="3.8L Twin-Turbo V6"/>
    <n v="3799"/>
    <m/>
    <n v="330"/>
    <n v="2.8"/>
    <n v="175000"/>
    <s v="Petrol"/>
    <n v="2"/>
    <n v="652"/>
  </r>
  <r>
    <x v="2"/>
    <s v="GT-R Black Edition"/>
    <s v="3.8L Twin-Turbo V6"/>
    <n v="3799"/>
    <m/>
    <n v="330"/>
    <n v="2.8"/>
    <n v="185000"/>
    <s v="Petrol"/>
    <n v="2"/>
    <n v="652"/>
  </r>
  <r>
    <x v="2"/>
    <s v="GT-R Egoist"/>
    <s v="3.8L Twin-Turbo V6"/>
    <n v="3799"/>
    <m/>
    <n v="315"/>
    <n v="2.8"/>
    <n v="220000"/>
    <s v="Petrol"/>
    <n v="2"/>
    <n v="637"/>
  </r>
  <r>
    <x v="25"/>
    <s v="911 GT2 RS"/>
    <s v="3.8L Twin-Turbo Flat-6"/>
    <n v="3745"/>
    <n v="700"/>
    <n v="340"/>
    <n v="2.8"/>
    <n v="293200"/>
    <s v="Petrol"/>
    <n v="2"/>
    <n v="750"/>
  </r>
  <r>
    <x v="2"/>
    <s v="370Z"/>
    <s v="V6"/>
    <n v="3696"/>
    <n v="332"/>
    <n v="250"/>
    <n v="4.7"/>
    <n v="30000"/>
    <s v="Petrol"/>
    <n v="2"/>
    <n v="366"/>
  </r>
  <r>
    <x v="2"/>
    <s v="370Z Roadster"/>
    <s v="3.7L V6"/>
    <n v="3696"/>
    <m/>
    <n v="250"/>
    <n v="5.5"/>
    <n v="41820"/>
    <s v="Petrol"/>
    <n v="2"/>
    <n v="366"/>
  </r>
  <r>
    <x v="2"/>
    <s v="370Z NISMO"/>
    <s v="3.7L V6"/>
    <n v="3696"/>
    <m/>
    <n v="250"/>
    <n v="5.2"/>
    <n v="45790"/>
    <s v="Petrol"/>
    <n v="2"/>
    <n v="374"/>
  </r>
  <r>
    <x v="1"/>
    <s v="GT"/>
    <s v="3.5L Twin-Turbo V6"/>
    <n v="3500"/>
    <n v="660"/>
    <n v="348"/>
    <n v="3"/>
    <n v="500000"/>
    <s v="Petrol"/>
    <n v="2"/>
    <n v="746"/>
  </r>
  <r>
    <x v="2"/>
    <s v="R390 GT1 Road Car"/>
    <s v="3.5L Twin-Turbo V8"/>
    <n v="3495"/>
    <m/>
    <n v="354"/>
    <n v="3.3"/>
    <n v="1000000"/>
    <s v="Petrol"/>
    <n v="2"/>
    <n v="637"/>
  </r>
  <r>
    <x v="11"/>
    <s v="NSX GT3 (Track Version)"/>
    <s v="Twin-Turbo V6 Hybrid"/>
    <n v="3493"/>
    <n v="500"/>
    <n v="300"/>
    <n v="3"/>
    <n v="150000"/>
    <s v="Hybrid"/>
    <n v="2"/>
    <n v="600"/>
  </r>
  <r>
    <x v="11"/>
    <s v="NSX 3.5L Hybrid Coupe"/>
    <s v="Twin-Turbo V6 Hybrid"/>
    <n v="3493"/>
    <n v="537"/>
    <n v="307"/>
    <n v="2.9"/>
    <n v="157000"/>
    <s v="Hybrid"/>
    <n v="2"/>
    <n v="666"/>
  </r>
  <r>
    <x v="11"/>
    <s v="NSX Carbon Edition"/>
    <s v="Twin-Turbo V6 Hybrid"/>
    <n v="3493"/>
    <n v="537"/>
    <n v="307"/>
    <n v="2.9"/>
    <n v="157000"/>
    <s v="Hybrid"/>
    <n v="2"/>
    <n v="666"/>
  </r>
  <r>
    <x v="2"/>
    <s v="GT-R LM NISMO"/>
    <s v="3.0L Twin-Turbo V6 Hybrid"/>
    <n v="3000"/>
    <m/>
    <n v="320"/>
    <n v="3"/>
    <n v="600000"/>
    <s v="Hybrid"/>
    <n v="2"/>
    <n v="650"/>
  </r>
  <r>
    <x v="13"/>
    <s v="Canter (Truck)"/>
    <s v="3.0L Diesel"/>
    <n v="3000"/>
    <n v="150"/>
    <n v="120"/>
    <m/>
    <n v="40000"/>
    <s v="Diesel"/>
    <n v="2"/>
    <n v="370"/>
  </r>
  <r>
    <x v="13"/>
    <s v="Fuso Canter Eco Hybrid"/>
    <s v="3.0L Diesel Hybrid"/>
    <n v="3000"/>
    <n v="150"/>
    <n v="120"/>
    <m/>
    <n v="55000"/>
    <s v="Diesel Hybrid"/>
    <n v="2"/>
    <n v="370"/>
  </r>
  <r>
    <x v="12"/>
    <s v="Titan (Truck)"/>
    <s v="3.0L Inline-4"/>
    <n v="3000"/>
    <n v="130"/>
    <n v="120"/>
    <n v="15"/>
    <n v="27500"/>
    <s v="Diesel"/>
    <n v="2"/>
    <n v="300"/>
  </r>
  <r>
    <x v="0"/>
    <s v="GR SUPRA"/>
    <s v="I4"/>
    <n v="2998"/>
    <n v="382"/>
    <n v="250"/>
    <n v="4.0999999999999996"/>
    <n v="53900"/>
    <s v="Petrol"/>
    <n v="2"/>
    <n v="500"/>
  </r>
  <r>
    <x v="2"/>
    <s v="Z PROTO"/>
    <s v="V6"/>
    <n v="2998"/>
    <n v="400"/>
    <n v="290"/>
    <n v="4.0999999999999996"/>
    <n v="40000"/>
    <s v="Petrol"/>
    <n v="2"/>
    <n v="475"/>
  </r>
  <r>
    <x v="2"/>
    <s v="Z (Fairlady Z)"/>
    <s v="3.0L Twin-Turbo V6"/>
    <n v="2997"/>
    <m/>
    <n v="250"/>
    <n v="4.5"/>
    <n v="40000"/>
    <s v="Petrol"/>
    <n v="2"/>
    <n v="475"/>
  </r>
  <r>
    <x v="2"/>
    <s v="Fairlady Z Heritage"/>
    <s v="3.0L Twin-Turbo V6"/>
    <n v="2997"/>
    <m/>
    <n v="250"/>
    <n v="4.2"/>
    <n v="48000"/>
    <s v="Petrol"/>
    <n v="2"/>
    <n v="475"/>
  </r>
  <r>
    <x v="25"/>
    <s v="911 Dakar"/>
    <s v="3.0L Twin-Turbo Flat-6"/>
    <n v="2981"/>
    <n v="473"/>
    <n v="240"/>
    <n v="3.4"/>
    <n v="222000"/>
    <s v="Petrol"/>
    <n v="2"/>
    <n v="570"/>
  </r>
  <r>
    <x v="2"/>
    <s v="280ZX"/>
    <s v="2.8L Inline-6"/>
    <n v="2753"/>
    <m/>
    <n v="205"/>
    <n v="9.5"/>
    <n v="35000"/>
    <s v="Petrol"/>
    <n v="2"/>
    <n v="210"/>
  </r>
  <r>
    <x v="25"/>
    <s v="718 Cayman S"/>
    <s v="2.5L Turbocharged Flat-4"/>
    <n v="2497"/>
    <n v="350"/>
    <n v="285"/>
    <n v="4.4000000000000004"/>
    <n v="75400"/>
    <s v="Petrol"/>
    <n v="2"/>
    <n v="420"/>
  </r>
  <r>
    <x v="2"/>
    <s v="Datsun 240Z (Classic)"/>
    <s v="2.4L Inline-6"/>
    <n v="2393"/>
    <m/>
    <n v="210"/>
    <n v="8"/>
    <n v="45000"/>
    <s v="Petrol"/>
    <n v="2"/>
    <n v="198"/>
  </r>
  <r>
    <x v="2"/>
    <s v="Datsun 240Z"/>
    <s v="2.4L Inline-6"/>
    <n v="2393"/>
    <m/>
    <n v="210"/>
    <n v="8"/>
    <n v="45000"/>
    <s v="Petrol"/>
    <n v="2"/>
    <n v="198"/>
  </r>
  <r>
    <x v="1"/>
    <s v="Transit Chassis Cab"/>
    <s v="EcoBlue Turbo Diesel"/>
    <n v="2000"/>
    <n v="170"/>
    <n v="160"/>
    <n v="11.5"/>
    <n v="37000"/>
    <s v="Diesel"/>
    <n v="2"/>
    <n v="405"/>
  </r>
  <r>
    <x v="12"/>
    <s v="MX-5 Miata"/>
    <s v="2.0L SkyActiv-G"/>
    <n v="2000"/>
    <n v="181"/>
    <n v="225"/>
    <n v="6.5"/>
    <n v="30000"/>
    <s v="Petrol"/>
    <n v="2"/>
    <n v="205"/>
  </r>
  <r>
    <x v="12"/>
    <s v="MX-5 Miata RF"/>
    <s v="2.0L SkyActiv-G"/>
    <n v="2000"/>
    <n v="181"/>
    <n v="225"/>
    <n v="6.5"/>
    <n v="36500"/>
    <s v="Petrol"/>
    <n v="2"/>
    <n v="205"/>
  </r>
  <r>
    <x v="12"/>
    <s v="T2000"/>
    <s v="2.0L Inline-4"/>
    <n v="2000"/>
    <n v="110"/>
    <n v="170"/>
    <n v="12.5"/>
    <n v="19000"/>
    <s v="Petrol"/>
    <n v="2"/>
    <n v="160"/>
  </r>
  <r>
    <x v="12"/>
    <s v="Bongo Truck"/>
    <s v="2.0L Inline-4"/>
    <n v="1998"/>
    <n v="120"/>
    <n v="130"/>
    <n v="15"/>
    <n v="16500"/>
    <s v="Petrol"/>
    <n v="2"/>
    <n v="150"/>
  </r>
  <r>
    <x v="25"/>
    <s v="718 Cayman"/>
    <s v="2.0L Turbocharged Flat-4"/>
    <n v="1988"/>
    <n v="300"/>
    <n v="275"/>
    <n v="4.9000000000000004"/>
    <n v="63400"/>
    <s v="Petrol"/>
    <n v="2"/>
    <n v="380"/>
  </r>
  <r>
    <x v="25"/>
    <s v="718 Boxster"/>
    <s v="2.0L Turbo Flat-4"/>
    <n v="1988"/>
    <n v="300"/>
    <n v="275"/>
    <n v="4.9000000000000004"/>
    <n v="65500"/>
    <s v="Petrol"/>
    <n v="2"/>
    <n v="380"/>
  </r>
  <r>
    <x v="25"/>
    <s v="718 Boxster T"/>
    <s v="2.0L Turbo Flat-4"/>
    <n v="1988"/>
    <n v="300"/>
    <n v="275"/>
    <n v="4.7"/>
    <n v="69600"/>
    <s v="Petrol"/>
    <n v="2"/>
    <n v="380"/>
  </r>
  <r>
    <x v="0"/>
    <s v="MR2"/>
    <s v="I4"/>
    <n v="1986"/>
    <n v="168"/>
    <n v="200"/>
    <n v="6.9"/>
    <n v="29000"/>
    <s v="Petrol"/>
    <n v="2"/>
    <n v="400"/>
  </r>
  <r>
    <x v="14"/>
    <s v="TT COUPE"/>
    <s v="I4"/>
    <n v="1984"/>
    <n v="248"/>
    <n v="250"/>
    <n v="5.3"/>
    <n v="49000"/>
    <s v="Petrol"/>
    <n v="2"/>
    <n v="400"/>
  </r>
  <r>
    <x v="12"/>
    <s v="MX-5 Superlight Concept"/>
    <s v="1.8L Inline-4"/>
    <n v="1798"/>
    <n v="143"/>
    <n v="200"/>
    <n v="7.5"/>
    <n v="32500"/>
    <s v="Petrol"/>
    <n v="2"/>
    <n v="160"/>
  </r>
  <r>
    <x v="12"/>
    <s v="Eunos Roadster"/>
    <s v="1.6L Inline-4"/>
    <n v="1590"/>
    <n v="116"/>
    <n v="180"/>
    <n v="9.5"/>
    <n v="16500"/>
    <s v="Petrol"/>
    <n v="2"/>
    <n v="140"/>
  </r>
  <r>
    <x v="12"/>
    <s v="T1500"/>
    <s v="1.5L Inline-4"/>
    <n v="1500"/>
    <n v="75"/>
    <n v="120"/>
    <n v="18"/>
    <n v="16500"/>
    <s v="Petrol"/>
    <n v="2"/>
    <n v="105"/>
  </r>
  <r>
    <x v="12"/>
    <s v="Porter"/>
    <s v="1.5L Inline-4"/>
    <n v="1497"/>
    <n v="95"/>
    <n v="130"/>
    <n v="14"/>
    <n v="13500"/>
    <s v="Petrol"/>
    <n v="2"/>
    <n v="130"/>
  </r>
  <r>
    <x v="12"/>
    <s v="RX-7 Spirit R"/>
    <s v="1.3L Inline-2 (Wankel)"/>
    <n v="1308"/>
    <n v="280"/>
    <n v="250"/>
    <n v="5.5"/>
    <n v="37500"/>
    <s v="Petrol"/>
    <n v="2"/>
    <n v="290"/>
  </r>
  <r>
    <x v="12"/>
    <s v="Savanna RX-7"/>
    <s v="1.3L Inline-2 (Wankel)"/>
    <n v="1308"/>
    <n v="165"/>
    <n v="230"/>
    <n v="7.5"/>
    <n v="30000"/>
    <s v="Petrol"/>
    <n v="2"/>
    <n v="230"/>
  </r>
  <r>
    <x v="12"/>
    <s v="Rotary Pickup"/>
    <s v="1.3L Wankel Rotary Engine"/>
    <n v="1308"/>
    <n v="130"/>
    <n v="150"/>
    <n v="14.5"/>
    <n v="20000"/>
    <s v="Petrol"/>
    <n v="2"/>
    <n v="160"/>
  </r>
  <r>
    <x v="3"/>
    <s v="Karmann Ghia"/>
    <s v="1.2L I4 Gas"/>
    <n v="1192"/>
    <n v="47"/>
    <n v="138"/>
    <n v="23"/>
    <n v="25000"/>
    <s v="Petrol"/>
    <n v="2"/>
    <n v="106"/>
  </r>
  <r>
    <x v="12"/>
    <s v="Cosmo Sport (110S)"/>
    <s v="1.0L Inline-2 (Wankel)"/>
    <n v="1000"/>
    <n v="110"/>
    <n v="170"/>
    <n v="10"/>
    <n v="32500"/>
    <s v="Petrol"/>
    <n v="2"/>
    <n v="150"/>
  </r>
  <r>
    <x v="12"/>
    <s v="Autozam AZ-1"/>
    <s v="657cc Turbocharged Inline-3"/>
    <n v="657"/>
    <n v="63"/>
    <n v="140"/>
    <n v="11"/>
    <n v="15000"/>
    <s v="Petrol"/>
    <n v="2"/>
    <n v="85"/>
  </r>
  <r>
    <x v="22"/>
    <s v="I8 ROADSTER"/>
    <s v="ELECTRIC MOTOR"/>
    <m/>
    <n v="369"/>
    <n v="250"/>
    <n v="4.4000000000000004"/>
    <n v="165000"/>
    <s v="Hybrid"/>
    <n v="2"/>
    <n v="570"/>
  </r>
  <r>
    <x v="3"/>
    <s v="Volkswagen XL1"/>
    <s v="Plug-in Hybrid (0.8L I2 Diesel)"/>
    <m/>
    <n v="68"/>
    <n v="160"/>
    <n v="11.9"/>
    <n v="150000"/>
    <s v="Hybrid"/>
    <n v="2"/>
    <n v="140"/>
  </r>
  <r>
    <x v="3"/>
    <s v="ID. Buzz Cargo Pro"/>
    <s v="Electric"/>
    <m/>
    <n v="204"/>
    <n v="145"/>
    <n v="10.199999999999999"/>
    <n v="55000"/>
    <s v="Electric"/>
    <n v="2"/>
    <n v="310"/>
  </r>
  <r>
    <x v="3"/>
    <s v="ID. Buzz Cargo EV"/>
    <s v="Electric"/>
    <m/>
    <n v="204"/>
    <n v="145"/>
    <n v="10.199999999999999"/>
    <n v="55000"/>
    <s v="Electric"/>
    <n v="2"/>
    <n v="310"/>
  </r>
  <r>
    <x v="27"/>
    <s v="Jaguar F-Type"/>
    <s v="V6 / V8 Petrol"/>
    <m/>
    <n v="335"/>
    <n v="260"/>
    <n v="5.0999999999999996"/>
    <n v="70000"/>
    <s v="Petrol"/>
    <n v="2"/>
    <n v="450"/>
  </r>
  <r>
    <x v="27"/>
    <s v="Jaguar F-Type SVR"/>
    <s v="V8 Petrol"/>
    <m/>
    <n v="575"/>
    <n v="320"/>
    <n v="3.7"/>
    <n v="120000"/>
    <s v="Petrol"/>
    <n v="2"/>
    <n v="700"/>
  </r>
  <r>
    <x v="27"/>
    <s v="Jaguar F-Type Heritage Edition"/>
    <s v="V8 Petrol"/>
    <m/>
    <n v="550"/>
    <n v="300"/>
    <n v="3.9"/>
    <n v="110000"/>
    <s v="Petrol"/>
    <n v="2"/>
    <n v="680"/>
  </r>
  <r>
    <x v="27"/>
    <s v="Jaguar F-Type V8 R"/>
    <s v="V8 Petrol"/>
    <m/>
    <n v="550"/>
    <n v="300"/>
    <n v="3.9"/>
    <n v="100000"/>
    <s v="Petrol"/>
    <n v="2"/>
    <n v="680"/>
  </r>
  <r>
    <x v="27"/>
    <s v="Jaguar F-Type R-Dynamic"/>
    <s v="I4 Petrol / V6 Petrol"/>
    <m/>
    <n v="300"/>
    <n v="250"/>
    <n v="5.0999999999999996"/>
    <n v="70000"/>
    <s v="Petrol"/>
    <n v="2"/>
    <n v="400"/>
  </r>
  <r>
    <x v="27"/>
    <s v="Jaguar F-Type 75th Anniversary Edition"/>
    <s v="V8 Petrol"/>
    <m/>
    <n v="550"/>
    <n v="300"/>
    <n v="3.9"/>
    <n v="100000"/>
    <s v="Petrol"/>
    <n v="2"/>
    <n v="680"/>
  </r>
  <r>
    <x v="27"/>
    <s v="Jaguar F-Type V6 S Convertible"/>
    <s v="V6 Petrol"/>
    <m/>
    <n v="380"/>
    <n v="280"/>
    <n v="4.8"/>
    <n v="80000"/>
    <s v="Petrol"/>
    <n v="2"/>
    <n v="460"/>
  </r>
  <r>
    <x v="27"/>
    <s v="Jaguar F-Type Coupe R"/>
    <s v="V8 Petrol"/>
    <m/>
    <n v="550"/>
    <n v="300"/>
    <n v="3.9"/>
    <n v="100000"/>
    <s v="Petrol"/>
    <n v="2"/>
    <n v="680"/>
  </r>
  <r>
    <x v="27"/>
    <s v="Jaguar F-Type P450 AWD"/>
    <s v="V8 Petrol"/>
    <m/>
    <n v="450"/>
    <n v="290"/>
    <n v="4"/>
    <n v="90000"/>
    <s v="Petrol"/>
    <n v="2"/>
    <n v="600"/>
  </r>
  <r>
    <x v="27"/>
    <s v="Jaguar F-Type P300 Coupe"/>
    <s v="I4 Petrol"/>
    <m/>
    <n v="300"/>
    <n v="250"/>
    <n v="5.5"/>
    <n v="60000"/>
    <s v="Petrol"/>
    <n v="2"/>
    <n v="400"/>
  </r>
  <r>
    <x v="11"/>
    <s v="NSX Type S"/>
    <s v="Twin-Turbo V6 Hybrid"/>
    <m/>
    <n v="600"/>
    <n v="307"/>
    <n v="2.9"/>
    <n v="157000"/>
    <s v="Hybrid"/>
    <n v="2"/>
    <n v="666"/>
  </r>
  <r>
    <x v="13"/>
    <s v="Minicab MiEV"/>
    <s v="Electric Motor"/>
    <m/>
    <n v="64"/>
    <n v="100"/>
    <m/>
    <n v="19000"/>
    <s v="Electric"/>
    <n v="2"/>
    <n v="196"/>
  </r>
  <r>
    <x v="12"/>
    <s v="RX-Vision Concept"/>
    <s v="Rotary SkyActiv-R"/>
    <m/>
    <m/>
    <m/>
    <m/>
    <m/>
    <s v="Petrol/Hybrid"/>
    <n v="2"/>
    <m/>
  </r>
  <r>
    <x v="25"/>
    <s v="911 RSR (Motorsport Edition)"/>
    <s v="4.2L Naturally Aspirated Flat-6"/>
    <n v="4194"/>
    <n v="515"/>
    <n v="296"/>
    <n v="3.1"/>
    <n v="750000"/>
    <s v="Petrol"/>
    <n v="1"/>
    <n v="480"/>
  </r>
  <r>
    <x v="25"/>
    <s v="911 GT3 Cup"/>
    <s v="4.0L Naturally Aspirated Flat-6"/>
    <n v="3996"/>
    <n v="510"/>
    <n v="290"/>
    <n v="3.4"/>
    <n v="245000"/>
    <s v="Petrol"/>
    <n v="1"/>
    <n v="470"/>
  </r>
  <r>
    <x v="12"/>
    <s v="787B (Race Car)"/>
    <s v="2.6L Wankel Rotary Engine"/>
    <n v="2620"/>
    <n v="700"/>
    <n v="320"/>
    <n v="3.5"/>
    <n v="6000000"/>
    <s v="Petrol"/>
    <n v="1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83D8C-F2D9-4CC2-B14A-829EB719BAA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5" firstHeaderRow="0" firstDataRow="1" firstDataCol="1"/>
  <pivotFields count="11">
    <pivotField axis="axisRow" showAll="0">
      <items count="32">
        <item x="11"/>
        <item x="24"/>
        <item x="14"/>
        <item x="28"/>
        <item x="22"/>
        <item x="30"/>
        <item x="9"/>
        <item x="5"/>
        <item x="29"/>
        <item x="1"/>
        <item x="6"/>
        <item x="8"/>
        <item x="10"/>
        <item x="27"/>
        <item x="4"/>
        <item x="7"/>
        <item x="23"/>
        <item x="16"/>
        <item x="26"/>
        <item x="12"/>
        <item x="21"/>
        <item x="13"/>
        <item x="2"/>
        <item x="17"/>
        <item x="25"/>
        <item x="20"/>
        <item x="15"/>
        <item x="19"/>
        <item x="0"/>
        <item x="3"/>
        <item x="18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Performance(0 - 100 )KM/H" fld="6" subtotal="average" baseField="0" baseItem="0"/>
    <dataField name="Count of Fuel Types" fld="8" subtotal="count" baseField="0" baseItem="3"/>
    <dataField name="Average of Horse Power Final" fld="4" subtotal="average" baseField="0" baseItem="0" numFmtId="2"/>
    <dataField name="Average of Car Prices Final" fld="7" subtotal="average" baseField="0" baseItem="19" numFmtId="44"/>
    <dataField name="Average of Seats" fld="9" subtotal="average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BB6752-FF8F-4CDA-AC56-43CDC4758C38}" autoFormatId="16" applyNumberFormats="0" applyBorderFormats="0" applyFontFormats="0" applyPatternFormats="0" applyAlignmentFormats="0" applyWidthHeightFormats="0">
  <queryTableRefresh nextId="17">
    <queryTableFields count="11">
      <queryTableField id="1" name="Company Names" tableColumnId="1"/>
      <queryTableField id="2" name="Cars Names" tableColumnId="2"/>
      <queryTableField id="3" name="Engines" tableColumnId="3"/>
      <queryTableField id="4" name="CC/Battery Capacity" tableColumnId="4"/>
      <queryTableField id="5" name="Horse Power Final" tableColumnId="5"/>
      <queryTableField id="6" name="Total Speed" tableColumnId="6"/>
      <queryTableField id="7" name="Performance(0 - 100 )KM/H" tableColumnId="7"/>
      <queryTableField id="8" name="Car Prices Final" tableColumnId="8"/>
      <queryTableField id="9" name="Fuel Types" tableColumnId="9"/>
      <queryTableField id="16" dataBound="0" tableColumnId="16"/>
      <queryTableField id="11" name="Torque Final" tableColumnId="11"/>
    </queryTableFields>
    <queryTableDeletedFields count="1">
      <deletedField name="Seat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193DE-0AB9-4066-A6A0-10C24F11D6D9}" name="Cars_Datasets_2025" displayName="Cars_Datasets_2025" ref="A1:K1203" tableType="queryTable" totalsRowShown="0">
  <autoFilter ref="A1:K1203" xr:uid="{009193DE-0AB9-4066-A6A0-10C24F11D6D9}">
    <filterColumn colId="0">
      <filters>
        <filter val="Bmw"/>
      </filters>
    </filterColumn>
  </autoFilter>
  <sortState xmlns:xlrd2="http://schemas.microsoft.com/office/spreadsheetml/2017/richdata2" ref="A2:K1203">
    <sortCondition descending="1" ref="H1:H1203"/>
  </sortState>
  <tableColumns count="11">
    <tableColumn id="1" xr3:uid="{FB4ECE42-C09E-4E6C-9DBE-0C06AF1B23A0}" uniqueName="1" name="Company Names" queryTableFieldId="1" dataDxfId="6"/>
    <tableColumn id="2" xr3:uid="{C4E74546-47F2-494F-8320-5C742A350CAA}" uniqueName="2" name="Cars Names" queryTableFieldId="2" dataDxfId="5"/>
    <tableColumn id="3" xr3:uid="{61A49412-270E-4349-845A-234BB2FBEF1C}" uniqueName="3" name="Engines" queryTableFieldId="3" dataDxfId="4"/>
    <tableColumn id="4" xr3:uid="{67F7DB88-0023-4519-8D9B-90C3D667ED76}" uniqueName="4" name="CC/Battery Capacity" queryTableFieldId="4"/>
    <tableColumn id="5" xr3:uid="{B7EEB735-37C8-415C-9E67-7020F9A57C87}" uniqueName="5" name="Horse Power Final" queryTableFieldId="5"/>
    <tableColumn id="6" xr3:uid="{E1D74F80-9194-44F3-87EE-85C0811B353C}" uniqueName="6" name="Total Speed" queryTableFieldId="6"/>
    <tableColumn id="7" xr3:uid="{F4791B0A-C325-4F30-917A-1D8CE05FF39A}" uniqueName="7" name="Performance(0 - 100 )KM/H" queryTableFieldId="7"/>
    <tableColumn id="8" xr3:uid="{00DCA378-E808-4269-9E47-A2D69ADDA3B9}" uniqueName="8" name="Car Prices Final" queryTableFieldId="8"/>
    <tableColumn id="9" xr3:uid="{00EF697A-C3AB-45C0-804C-DBBFEDC86187}" uniqueName="9" name="Fuel Types" queryTableFieldId="9" dataDxfId="3"/>
    <tableColumn id="16" xr3:uid="{40CE3D4C-D331-446B-A08C-75FCAFB9CD7D}" uniqueName="16" name="Seats" queryTableFieldId="16" dataDxfId="2"/>
    <tableColumn id="11" xr3:uid="{A8217AEE-AAA4-478A-B105-3357F5217914}" uniqueName="11" name="Torque Final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F39CF3-7C0C-4100-9A4B-C10FCE870E6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7eece12-3004-4c2b-b0e9-5332de89483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D13F-8574-4E1C-93B2-0957B2B129B9}">
  <dimension ref="A3:J35"/>
  <sheetViews>
    <sheetView workbookViewId="0">
      <selection activeCell="I36" sqref="I36"/>
    </sheetView>
  </sheetViews>
  <sheetFormatPr defaultRowHeight="15" x14ac:dyDescent="0.25"/>
  <cols>
    <col min="1" max="1" width="17" bestFit="1" customWidth="1"/>
    <col min="2" max="2" width="35.5703125" bestFit="1" customWidth="1"/>
    <col min="3" max="3" width="19.140625" bestFit="1" customWidth="1"/>
    <col min="4" max="4" width="27.5703125" bestFit="1" customWidth="1"/>
    <col min="5" max="5" width="25.140625" bestFit="1" customWidth="1"/>
    <col min="6" max="6" width="16" bestFit="1" customWidth="1"/>
    <col min="7" max="7" width="24.5703125" bestFit="1" customWidth="1"/>
    <col min="9" max="9" width="31.42578125" customWidth="1"/>
    <col min="10" max="10" width="28.5703125" customWidth="1"/>
  </cols>
  <sheetData>
    <row r="3" spans="1:10" x14ac:dyDescent="0.25">
      <c r="A3" s="1" t="s">
        <v>1609</v>
      </c>
      <c r="B3" t="s">
        <v>1615</v>
      </c>
      <c r="C3" t="s">
        <v>1611</v>
      </c>
      <c r="D3" t="s">
        <v>1612</v>
      </c>
      <c r="E3" t="s">
        <v>1613</v>
      </c>
      <c r="F3" t="s">
        <v>1614</v>
      </c>
      <c r="G3" s="5" t="s">
        <v>1616</v>
      </c>
      <c r="I3" s="5" t="s">
        <v>1635</v>
      </c>
      <c r="J3" s="5"/>
    </row>
    <row r="4" spans="1:10" x14ac:dyDescent="0.25">
      <c r="A4" s="2" t="s">
        <v>1226</v>
      </c>
      <c r="B4">
        <v>5.6777777777777771</v>
      </c>
      <c r="C4">
        <v>27</v>
      </c>
      <c r="D4" s="3">
        <v>311.03703703703701</v>
      </c>
      <c r="E4" s="4">
        <v>63259.259259259263</v>
      </c>
      <c r="F4">
        <v>5</v>
      </c>
      <c r="G4" s="4" cm="1">
        <f t="array" ref="G4">MEDIAN(IF('Cars Datasets 2025'!$A$2:$A$1203=$A4,'Cars Datasets 2025'!$H$2:$H$1203))</f>
        <v>50000</v>
      </c>
      <c r="I4" t="s">
        <v>1617</v>
      </c>
      <c r="J4" s="7" t="s">
        <v>738</v>
      </c>
    </row>
    <row r="5" spans="1:10" x14ac:dyDescent="0.25">
      <c r="A5" s="2" t="s">
        <v>29</v>
      </c>
      <c r="B5">
        <v>3.5272727272727269</v>
      </c>
      <c r="C5">
        <v>11</v>
      </c>
      <c r="D5" s="3">
        <v>701.09090909090912</v>
      </c>
      <c r="E5" s="4">
        <v>752949.09090909094</v>
      </c>
      <c r="F5">
        <v>2.8181818181818183</v>
      </c>
      <c r="G5" s="4" cm="1">
        <f t="array" ref="G5">MEDIAN(IF('Cars Datasets 2025'!$A$2:$A$1203=$A5,'Cars Datasets 2025'!$H$2:$H$1203))</f>
        <v>294000</v>
      </c>
      <c r="I5" t="s">
        <v>1618</v>
      </c>
      <c r="J5" t="str">
        <f>IFERROR(VLOOKUP($J$4,'Cars Datasets 2025'!$B$2:$K$1203,2,FALSE),"Not found")</f>
        <v>4.0L Naturally Aspirated Flat-6</v>
      </c>
    </row>
    <row r="6" spans="1:10" x14ac:dyDescent="0.25">
      <c r="A6" s="2" t="s">
        <v>24</v>
      </c>
      <c r="B6">
        <v>5.1619047619047613</v>
      </c>
      <c r="C6">
        <v>21</v>
      </c>
      <c r="D6" s="3">
        <v>393.1904761904762</v>
      </c>
      <c r="E6" s="4">
        <v>82870.952380952382</v>
      </c>
      <c r="F6">
        <v>4.5714285714285712</v>
      </c>
      <c r="G6" s="4" cm="1">
        <f t="array" ref="G6">MEDIAN(IF('Cars Datasets 2025'!$A$2:$A$1203=$A6,'Cars Datasets 2025'!$H$2:$H$1203))</f>
        <v>64000</v>
      </c>
      <c r="I6" t="s">
        <v>1619</v>
      </c>
      <c r="J6">
        <f>IFERROR(VLOOKUP($J$4,'Cars Datasets 2025'!$B$2:$K$1203,3,FALSE),"Not found")</f>
        <v>3996</v>
      </c>
    </row>
    <row r="7" spans="1:10" x14ac:dyDescent="0.25">
      <c r="A7" s="2" t="s">
        <v>31</v>
      </c>
      <c r="B7">
        <v>4</v>
      </c>
      <c r="C7">
        <v>1</v>
      </c>
      <c r="D7" s="3">
        <v>550</v>
      </c>
      <c r="E7" s="4">
        <v>311000</v>
      </c>
      <c r="F7">
        <v>4</v>
      </c>
      <c r="G7" s="4" cm="1">
        <f t="array" ref="G7">MEDIAN(IF('Cars Datasets 2025'!$A$2:$A$1203=$A7,'Cars Datasets 2025'!$H$2:$H$1203))</f>
        <v>311000</v>
      </c>
      <c r="I7" t="s">
        <v>1620</v>
      </c>
      <c r="J7">
        <f>IFERROR(VLOOKUP($J$4,'Cars Datasets 2025'!$B$2:$K$1203,4,FALSE),"Not found")</f>
        <v>518</v>
      </c>
    </row>
    <row r="8" spans="1:10" x14ac:dyDescent="0.25">
      <c r="A8" s="2" t="s">
        <v>27</v>
      </c>
      <c r="B8">
        <v>6.8804878048780482</v>
      </c>
      <c r="C8">
        <v>41</v>
      </c>
      <c r="D8" s="3">
        <v>274.53658536585368</v>
      </c>
      <c r="E8" s="4">
        <v>67317.073170731703</v>
      </c>
      <c r="F8">
        <v>4.7317073170731705</v>
      </c>
      <c r="G8" s="4" cm="1">
        <f t="array" ref="G8">MEDIAN(IF('Cars Datasets 2025'!$A$2:$A$1203=$A8,'Cars Datasets 2025'!$H$2:$H$1203))</f>
        <v>39000</v>
      </c>
      <c r="I8" t="s">
        <v>1621</v>
      </c>
      <c r="J8">
        <f>IFERROR(VLOOKUP($J$4,'Cars Datasets 2025'!$B$2:$K$1203,5,FALSE),"Not found")</f>
        <v>296</v>
      </c>
    </row>
    <row r="9" spans="1:10" x14ac:dyDescent="0.25">
      <c r="A9" s="2" t="s">
        <v>1153</v>
      </c>
      <c r="B9">
        <v>2.3999999999999995</v>
      </c>
      <c r="C9">
        <v>10</v>
      </c>
      <c r="D9" s="3">
        <v>1565</v>
      </c>
      <c r="E9" s="4">
        <v>5870000</v>
      </c>
      <c r="F9">
        <v>2</v>
      </c>
      <c r="G9" s="4" cm="1">
        <f t="array" ref="G9">MEDIAN(IF('Cars Datasets 2025'!$A$2:$A$1203=$A9,'Cars Datasets 2025'!$H$2:$H$1203))</f>
        <v>4000000</v>
      </c>
      <c r="I9" t="s">
        <v>1622</v>
      </c>
      <c r="J9">
        <f>IFERROR(VLOOKUP($J$4,'Cars Datasets 2025'!$B$2:$K$1203,6,FALSE),"Not found")</f>
        <v>3.2</v>
      </c>
    </row>
    <row r="10" spans="1:10" x14ac:dyDescent="0.25">
      <c r="A10" s="2" t="s">
        <v>787</v>
      </c>
      <c r="B10">
        <v>5.9399999999999995</v>
      </c>
      <c r="C10">
        <v>20</v>
      </c>
      <c r="D10" s="3">
        <v>368.4</v>
      </c>
      <c r="E10" s="4">
        <v>62178.5</v>
      </c>
      <c r="F10">
        <v>5.6</v>
      </c>
      <c r="G10" s="4" cm="1">
        <f t="array" ref="G10">MEDIAN(IF('Cars Datasets 2025'!$A$2:$A$1203=$A10,'Cars Datasets 2025'!$H$2:$H$1203))</f>
        <v>54095</v>
      </c>
      <c r="I10" t="s">
        <v>1623</v>
      </c>
      <c r="J10" s="4">
        <f>IFERROR(VLOOKUP($J$4,'Cars Datasets 2025'!$B$2:$K$1203,7,FALSE),"Not found")</f>
        <v>241300</v>
      </c>
    </row>
    <row r="11" spans="1:10" x14ac:dyDescent="0.25">
      <c r="A11" s="2" t="s">
        <v>939</v>
      </c>
      <c r="B11">
        <v>7.3285714285714265</v>
      </c>
      <c r="C11">
        <v>56</v>
      </c>
      <c r="D11" s="3">
        <v>303.71428571428572</v>
      </c>
      <c r="E11" s="4">
        <v>44808.035714285717</v>
      </c>
      <c r="F11">
        <v>5.6428571428571432</v>
      </c>
      <c r="G11" s="4" cm="1">
        <f t="array" ref="G11">MEDIAN(IF('Cars Datasets 2025'!$A$2:$A$1203=$A11,'Cars Datasets 2025'!$H$2:$H$1203))</f>
        <v>43600</v>
      </c>
      <c r="I11" t="s">
        <v>1624</v>
      </c>
      <c r="J11" t="str">
        <f>IFERROR(VLOOKUP($J$4,'Cars Datasets 2025'!$B$2:$K$1203,8,FALSE),"Not found")</f>
        <v>Petrol</v>
      </c>
    </row>
    <row r="12" spans="1:10" x14ac:dyDescent="0.25">
      <c r="A12" s="2" t="s">
        <v>11</v>
      </c>
      <c r="B12">
        <v>3.0333333333333332</v>
      </c>
      <c r="C12">
        <v>9</v>
      </c>
      <c r="D12" s="3">
        <v>709.88888888888891</v>
      </c>
      <c r="E12" s="4">
        <v>512222.22222222225</v>
      </c>
      <c r="F12">
        <v>2.8888888888888888</v>
      </c>
      <c r="G12" s="4" cm="1">
        <f t="array" ref="G12">MEDIAN(IF('Cars Datasets 2025'!$A$2:$A$1203=$A12,'Cars Datasets 2025'!$H$2:$H$1203))</f>
        <v>280000</v>
      </c>
      <c r="I12" t="s">
        <v>9</v>
      </c>
      <c r="J12">
        <f>IFERROR(VLOOKUP($J$4,'Cars Datasets 2025'!$B$2:$K$1203,9,FALSE),"Not found")</f>
        <v>2</v>
      </c>
    </row>
    <row r="13" spans="1:10" x14ac:dyDescent="0.25">
      <c r="A13" s="2" t="s">
        <v>19</v>
      </c>
      <c r="B13">
        <v>7.3999999999999995</v>
      </c>
      <c r="C13">
        <v>53</v>
      </c>
      <c r="D13" s="3">
        <v>319.41509433962267</v>
      </c>
      <c r="E13" s="4">
        <v>54211.603773584902</v>
      </c>
      <c r="F13">
        <v>5.4905660377358494</v>
      </c>
      <c r="G13" s="4" cm="1">
        <f t="array" ref="G13">MEDIAN(IF('Cars Datasets 2025'!$A$2:$A$1203=$A13,'Cars Datasets 2025'!$H$2:$H$1203))</f>
        <v>45000</v>
      </c>
      <c r="I13" t="s">
        <v>1625</v>
      </c>
      <c r="J13">
        <f>IFERROR(VLOOKUP($J$4,'Cars Datasets 2025'!$B$2:$K$1203,10,FALSE),"Not found")</f>
        <v>465</v>
      </c>
    </row>
    <row r="14" spans="1:10" x14ac:dyDescent="0.25">
      <c r="A14" s="2" t="s">
        <v>1007</v>
      </c>
      <c r="B14">
        <v>6.8542372881355957</v>
      </c>
      <c r="C14">
        <v>59</v>
      </c>
      <c r="D14" s="3">
        <v>344.71698113207549</v>
      </c>
      <c r="E14" s="4">
        <v>63293.47457627119</v>
      </c>
      <c r="F14">
        <v>5.7796610169491522</v>
      </c>
      <c r="G14" s="4" cm="1">
        <f t="array" ref="G14">MEDIAN(IF('Cars Datasets 2025'!$A$2:$A$1203=$A14,'Cars Datasets 2025'!$H$2:$H$1203))</f>
        <v>60000</v>
      </c>
      <c r="I14" t="s">
        <v>1626</v>
      </c>
      <c r="J14" t="str">
        <f>IFERROR(INDEX('Cars Datasets 2025'!$A$2:$A$1203,MATCH($J$4,'Cars Datasets 2025'!$B$2:$B$1203,0)),"Not found")</f>
        <v>Porsche</v>
      </c>
    </row>
    <row r="15" spans="1:10" x14ac:dyDescent="0.25">
      <c r="A15" s="2" t="s">
        <v>224</v>
      </c>
      <c r="B15">
        <v>7.5428571428571427</v>
      </c>
      <c r="C15">
        <v>7</v>
      </c>
      <c r="D15" s="3">
        <v>205.57142857142858</v>
      </c>
      <c r="E15" s="4">
        <v>29364.285714285714</v>
      </c>
      <c r="F15">
        <v>5.4285714285714288</v>
      </c>
      <c r="G15" s="4" cm="1">
        <f t="array" ref="G15">MEDIAN(IF('Cars Datasets 2025'!$A$2:$A$1203=$A15,'Cars Datasets 2025'!$H$2:$H$1203))</f>
        <v>29400</v>
      </c>
    </row>
    <row r="16" spans="1:10" x14ac:dyDescent="0.25">
      <c r="A16" s="2" t="s">
        <v>269</v>
      </c>
      <c r="B16">
        <v>7.8545454545454536</v>
      </c>
      <c r="C16">
        <v>23</v>
      </c>
      <c r="D16" s="3">
        <v>198.17391304347825</v>
      </c>
      <c r="E16" s="4">
        <v>31495.608695652172</v>
      </c>
      <c r="F16">
        <v>5.0869565217391308</v>
      </c>
      <c r="G16" s="4" cm="1">
        <f t="array" ref="G16">MEDIAN(IF('Cars Datasets 2025'!$A$2:$A$1203=$A16,'Cars Datasets 2025'!$H$2:$H$1203))</f>
        <v>25000</v>
      </c>
      <c r="I16" s="5" t="s">
        <v>1634</v>
      </c>
      <c r="J16" s="5"/>
    </row>
    <row r="17" spans="1:10" x14ac:dyDescent="0.25">
      <c r="A17" s="2" t="s">
        <v>1178</v>
      </c>
      <c r="B17">
        <v>5.3461538461538458</v>
      </c>
      <c r="C17">
        <v>40</v>
      </c>
      <c r="D17" s="3">
        <v>357.20512820512823</v>
      </c>
      <c r="E17" s="4">
        <v>72435.897435897437</v>
      </c>
      <c r="F17">
        <v>4.25</v>
      </c>
      <c r="G17" s="4" cm="1">
        <f t="array" ref="G17">MEDIAN(IF('Cars Datasets 2025'!$A$2:$A$1203=$A17,'Cars Datasets 2025'!$H$2:$H$1203))</f>
        <v>67500</v>
      </c>
      <c r="I17" t="s">
        <v>1627</v>
      </c>
      <c r="J17" s="7" t="s">
        <v>43</v>
      </c>
    </row>
    <row r="18" spans="1:10" x14ac:dyDescent="0.25">
      <c r="A18" s="2" t="s">
        <v>886</v>
      </c>
      <c r="B18">
        <v>7.0684210526315798</v>
      </c>
      <c r="C18">
        <v>19</v>
      </c>
      <c r="D18" s="3">
        <v>318.89473684210526</v>
      </c>
      <c r="E18" s="4">
        <v>51439.210526315786</v>
      </c>
      <c r="F18">
        <v>5.2631578947368425</v>
      </c>
      <c r="G18" s="4" cm="1">
        <f t="array" ref="G18">MEDIAN(IF('Cars Datasets 2025'!$A$2:$A$1203=$A18,'Cars Datasets 2025'!$H$2:$H$1203))</f>
        <v>44500</v>
      </c>
      <c r="I18" t="s">
        <v>1628</v>
      </c>
      <c r="J18" s="3">
        <f>IFERROR(VLOOKUP($J$17,$A$4:$G$34,2,FALSE),"Not found")</f>
        <v>8.1545454545454525</v>
      </c>
    </row>
    <row r="19" spans="1:10" x14ac:dyDescent="0.25">
      <c r="A19" s="2" t="s">
        <v>218</v>
      </c>
      <c r="B19">
        <v>7.8507042253521142</v>
      </c>
      <c r="C19">
        <v>71</v>
      </c>
      <c r="D19" s="3">
        <v>216.28169014084506</v>
      </c>
      <c r="E19" s="4">
        <v>36014.084507042251</v>
      </c>
      <c r="F19">
        <v>5.549295774647887</v>
      </c>
      <c r="G19" s="4" cm="1">
        <f t="array" ref="G19">MEDIAN(IF('Cars Datasets 2025'!$A$2:$A$1203=$A19,'Cars Datasets 2025'!$H$2:$H$1203))</f>
        <v>34500</v>
      </c>
      <c r="I19" t="s">
        <v>1629</v>
      </c>
      <c r="J19">
        <f>IFERROR(VLOOKUP($J$17,$A$4:$G$34,3,FALSE),"Not found")</f>
        <v>49</v>
      </c>
    </row>
    <row r="20" spans="1:10" x14ac:dyDescent="0.25">
      <c r="A20" s="2" t="s">
        <v>33</v>
      </c>
      <c r="B20">
        <v>3.0374999999999996</v>
      </c>
      <c r="C20">
        <v>24</v>
      </c>
      <c r="D20" s="3">
        <v>691.54166666666663</v>
      </c>
      <c r="E20" s="4">
        <v>650083.33333333337</v>
      </c>
      <c r="F20">
        <v>2.5</v>
      </c>
      <c r="G20" s="4" cm="1">
        <f t="array" ref="G20">MEDIAN(IF('Cars Datasets 2025'!$A$2:$A$1203=$A20,'Cars Datasets 2025'!$H$2:$H$1203))</f>
        <v>334500</v>
      </c>
      <c r="I20" t="s">
        <v>1630</v>
      </c>
      <c r="J20" s="3">
        <f>IFERROR(VLOOKUP($J$17,$A$4:$G$34,4,FALSE),"Not found")</f>
        <v>235.93478260869566</v>
      </c>
    </row>
    <row r="21" spans="1:10" x14ac:dyDescent="0.25">
      <c r="A21" s="2" t="s">
        <v>276</v>
      </c>
      <c r="B21">
        <v>10.733333333333334</v>
      </c>
      <c r="C21">
        <v>3</v>
      </c>
      <c r="D21" s="3">
        <v>148.33333333333334</v>
      </c>
      <c r="E21" s="4">
        <v>18400</v>
      </c>
      <c r="F21">
        <v>6</v>
      </c>
      <c r="G21" s="4" cm="1">
        <f t="array" ref="G21">MEDIAN(IF('Cars Datasets 2025'!$A$2:$A$1203=$A21,'Cars Datasets 2025'!$H$2:$H$1203))</f>
        <v>18400</v>
      </c>
      <c r="I21" t="s">
        <v>1631</v>
      </c>
      <c r="J21" s="4">
        <f>IFERROR(VLOOKUP($J$17,$A$4:$G$34,5,FALSE),"Not found")</f>
        <v>42876.333333333336</v>
      </c>
    </row>
    <row r="22" spans="1:10" x14ac:dyDescent="0.25">
      <c r="A22" s="2" t="s">
        <v>281</v>
      </c>
      <c r="B22">
        <v>11.966666666666667</v>
      </c>
      <c r="C22">
        <v>3</v>
      </c>
      <c r="D22" s="3">
        <v>89.666666666666671</v>
      </c>
      <c r="E22" s="4">
        <v>12066.666666666666</v>
      </c>
      <c r="F22">
        <v>5</v>
      </c>
      <c r="G22" s="4" cm="1">
        <f t="array" ref="G22">MEDIAN(IF('Cars Datasets 2025'!$A$2:$A$1203=$A22,'Cars Datasets 2025'!$H$2:$H$1203))</f>
        <v>11400</v>
      </c>
      <c r="I22" t="s">
        <v>1632</v>
      </c>
      <c r="J22" s="3">
        <f>IFERROR(VLOOKUP($J$17,$A$4:$G$34,6,FALSE),"Not found")</f>
        <v>5.591836734693878</v>
      </c>
    </row>
    <row r="23" spans="1:10" x14ac:dyDescent="0.25">
      <c r="A23" s="2" t="s">
        <v>910</v>
      </c>
      <c r="B23">
        <v>10.419767441860465</v>
      </c>
      <c r="C23">
        <v>87</v>
      </c>
      <c r="D23" s="3">
        <v>154.68604651162789</v>
      </c>
      <c r="E23" s="4">
        <v>93825.58139534884</v>
      </c>
      <c r="F23">
        <v>4.4137931034482758</v>
      </c>
      <c r="G23" s="4" cm="1">
        <f t="array" ref="G23">MEDIAN(IF('Cars Datasets 2025'!$A$2:$A$1203=$A23,'Cars Datasets 2025'!$H$2:$H$1203))</f>
        <v>22500</v>
      </c>
      <c r="I23" t="s">
        <v>1633</v>
      </c>
      <c r="J23" s="4">
        <f>IFERROR(VLOOKUP($J$17,$A$4:$G$34,7,FALSE),"Not found")</f>
        <v>38400</v>
      </c>
    </row>
    <row r="24" spans="1:10" x14ac:dyDescent="0.25">
      <c r="A24" s="2" t="s">
        <v>22</v>
      </c>
      <c r="B24">
        <v>4.7571428571428571</v>
      </c>
      <c r="C24">
        <v>21</v>
      </c>
      <c r="D24" s="3">
        <v>432.85714285714283</v>
      </c>
      <c r="E24" s="4">
        <v>84190.476190476184</v>
      </c>
      <c r="F24">
        <v>4.9523809523809526</v>
      </c>
      <c r="G24" s="4" cm="1">
        <f t="array" ref="G24">MEDIAN(IF('Cars Datasets 2025'!$A$2:$A$1203=$A24,'Cars Datasets 2025'!$H$2:$H$1203))</f>
        <v>70000</v>
      </c>
    </row>
    <row r="25" spans="1:10" x14ac:dyDescent="0.25">
      <c r="A25" s="2" t="s">
        <v>1398</v>
      </c>
      <c r="B25">
        <v>11.038181818181819</v>
      </c>
      <c r="C25">
        <v>60</v>
      </c>
      <c r="D25" s="3">
        <v>147.30000000000001</v>
      </c>
      <c r="E25" s="4">
        <v>28850</v>
      </c>
      <c r="F25">
        <v>5.35</v>
      </c>
      <c r="G25" s="4" cm="1">
        <f t="array" ref="G25">MEDIAN(IF('Cars Datasets 2025'!$A$2:$A$1203=$A25,'Cars Datasets 2025'!$H$2:$H$1203))</f>
        <v>27500</v>
      </c>
    </row>
    <row r="26" spans="1:10" x14ac:dyDescent="0.25">
      <c r="A26" s="2" t="s">
        <v>52</v>
      </c>
      <c r="B26">
        <v>8.5407643312101875</v>
      </c>
      <c r="C26">
        <v>157</v>
      </c>
      <c r="D26" s="3">
        <v>311.36363636363637</v>
      </c>
      <c r="E26" s="4">
        <v>59674.777070063697</v>
      </c>
      <c r="F26">
        <v>5.0254777070063694</v>
      </c>
      <c r="G26" s="4" cm="1">
        <f t="array" ref="G26">MEDIAN(IF('Cars Datasets 2025'!$A$2:$A$1203=$A26,'Cars Datasets 2025'!$H$2:$H$1203))</f>
        <v>35000</v>
      </c>
    </row>
    <row r="27" spans="1:10" x14ac:dyDescent="0.25">
      <c r="A27" s="2" t="s">
        <v>1086</v>
      </c>
      <c r="B27">
        <v>8.6735849056603769</v>
      </c>
      <c r="C27">
        <v>53</v>
      </c>
      <c r="D27" s="3">
        <v>176.73584905660377</v>
      </c>
      <c r="E27" s="4">
        <v>35047.169811320753</v>
      </c>
      <c r="F27">
        <v>5.1132075471698117</v>
      </c>
      <c r="G27" s="4" cm="1">
        <f t="array" ref="G27">MEDIAN(IF('Cars Datasets 2025'!$A$2:$A$1203=$A27,'Cars Datasets 2025'!$H$2:$H$1203))</f>
        <v>35000</v>
      </c>
    </row>
    <row r="28" spans="1:10" x14ac:dyDescent="0.25">
      <c r="A28" s="2" t="s">
        <v>701</v>
      </c>
      <c r="B28">
        <v>4.2120879120879087</v>
      </c>
      <c r="C28">
        <v>91</v>
      </c>
      <c r="D28" s="3">
        <v>482.34285714285716</v>
      </c>
      <c r="E28" s="4">
        <v>141291.2087912088</v>
      </c>
      <c r="F28">
        <v>3.8131868131868134</v>
      </c>
      <c r="G28" s="4" cm="1">
        <f t="array" ref="G28">MEDIAN(IF('Cars Datasets 2025'!$A$2:$A$1203=$A28,'Cars Datasets 2025'!$H$2:$H$1203))</f>
        <v>116000</v>
      </c>
    </row>
    <row r="29" spans="1:10" x14ac:dyDescent="0.25">
      <c r="A29" s="2" t="s">
        <v>15</v>
      </c>
      <c r="B29">
        <v>4.91</v>
      </c>
      <c r="C29">
        <v>30</v>
      </c>
      <c r="D29" s="3">
        <v>584</v>
      </c>
      <c r="E29" s="4">
        <v>390400</v>
      </c>
      <c r="F29">
        <v>4.5333333333333332</v>
      </c>
      <c r="G29" s="4" cm="1">
        <f t="array" ref="G29">MEDIAN(IF('Cars Datasets 2025'!$A$2:$A$1203=$A29,'Cars Datasets 2025'!$H$2:$H$1203))</f>
        <v>377500</v>
      </c>
    </row>
    <row r="30" spans="1:10" x14ac:dyDescent="0.25">
      <c r="A30" s="2" t="s">
        <v>820</v>
      </c>
      <c r="B30">
        <v>13.460714285714285</v>
      </c>
      <c r="C30">
        <v>28</v>
      </c>
      <c r="D30" s="3">
        <v>98.869565217391298</v>
      </c>
      <c r="E30" s="4">
        <v>12507.142857142857</v>
      </c>
      <c r="F30">
        <v>5.3214285714285712</v>
      </c>
      <c r="G30" s="4" cm="1">
        <f t="array" ref="G30">MEDIAN(IF('Cars Datasets 2025'!$A$2:$A$1203=$A30,'Cars Datasets 2025'!$H$2:$H$1203))</f>
        <v>10750</v>
      </c>
    </row>
    <row r="31" spans="1:10" x14ac:dyDescent="0.25">
      <c r="A31" s="2" t="s">
        <v>871</v>
      </c>
      <c r="B31">
        <v>3.5100000000000002</v>
      </c>
      <c r="C31">
        <v>10</v>
      </c>
      <c r="D31" s="3">
        <v>693.1</v>
      </c>
      <c r="E31" s="4">
        <v>87032</v>
      </c>
      <c r="F31">
        <v>5.3</v>
      </c>
      <c r="G31" s="4" cm="1">
        <f t="array" ref="G31">MEDIAN(IF('Cars Datasets 2025'!$A$2:$A$1203=$A31,'Cars Datasets 2025'!$H$2:$H$1203))</f>
        <v>79195</v>
      </c>
    </row>
    <row r="32" spans="1:10" x14ac:dyDescent="0.25">
      <c r="A32" s="2" t="s">
        <v>43</v>
      </c>
      <c r="B32">
        <v>8.1545454545454525</v>
      </c>
      <c r="C32">
        <v>49</v>
      </c>
      <c r="D32" s="3">
        <v>235.93478260869566</v>
      </c>
      <c r="E32" s="4">
        <v>42876.333333333336</v>
      </c>
      <c r="F32">
        <v>5.591836734693878</v>
      </c>
      <c r="G32" s="4" cm="1">
        <f t="array" ref="G32">MEDIAN(IF('Cars Datasets 2025'!$A$2:$A$1203=$A32,'Cars Datasets 2025'!$H$2:$H$1203))</f>
        <v>38400</v>
      </c>
    </row>
    <row r="33" spans="1:7" x14ac:dyDescent="0.25">
      <c r="A33" s="2" t="s">
        <v>351</v>
      </c>
      <c r="B33">
        <v>8.5216981132075453</v>
      </c>
      <c r="C33">
        <v>106</v>
      </c>
      <c r="D33" s="3">
        <v>191.40952380952382</v>
      </c>
      <c r="E33" s="4">
        <v>36592.783018867922</v>
      </c>
      <c r="F33">
        <v>4.9339622641509431</v>
      </c>
      <c r="G33" s="4" cm="1">
        <f t="array" ref="G33">MEDIAN(IF('Cars Datasets 2025'!$A$2:$A$1203=$A33,'Cars Datasets 2025'!$H$2:$H$1203))</f>
        <v>33000</v>
      </c>
    </row>
    <row r="34" spans="1:7" x14ac:dyDescent="0.25">
      <c r="A34" s="2" t="s">
        <v>213</v>
      </c>
      <c r="B34">
        <v>14.4</v>
      </c>
      <c r="C34">
        <v>12</v>
      </c>
      <c r="D34" s="3">
        <v>408.25</v>
      </c>
      <c r="E34" s="4">
        <v>97083.333333333328</v>
      </c>
      <c r="F34">
        <v>2.9166666666666665</v>
      </c>
      <c r="G34" s="4" cm="1">
        <f t="array" ref="G34">MEDIAN(IF('Cars Datasets 2025'!$A$2:$A$1203=$A34,'Cars Datasets 2025'!$H$2:$H$1203))</f>
        <v>97500</v>
      </c>
    </row>
    <row r="35" spans="1:7" x14ac:dyDescent="0.25">
      <c r="A35" s="2" t="s">
        <v>1610</v>
      </c>
      <c r="B35">
        <v>7.5801352493660117</v>
      </c>
      <c r="C35">
        <v>1202</v>
      </c>
      <c r="D35" s="3">
        <v>311.20137524557958</v>
      </c>
      <c r="E35" s="4">
        <v>139642.56187290969</v>
      </c>
      <c r="F35">
        <v>4.8785357737104826</v>
      </c>
      <c r="G35" s="6">
        <f>MEDIAN('Cars Datasets 2025'!$H$2:$H$1203)</f>
        <v>42647.5</v>
      </c>
    </row>
  </sheetData>
  <dataValidations count="1">
    <dataValidation type="list" allowBlank="1" showInputMessage="1" showErrorMessage="1" sqref="J17" xr:uid="{E674D44E-3767-49A6-849C-67AB06E60072}">
      <formula1>$A$4:$A$34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BEBAEF-4961-4F86-A4B3-25AC5FF15A90}">
          <x14:formula1>
            <xm:f>'Cars Datasets 2025'!$B$2:$B$1203</xm:f>
          </x14:formula1>
          <xm:sqref>J4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69B4-7F0D-42FC-8E40-015E1612A901}">
  <dimension ref="A1:K1203"/>
  <sheetViews>
    <sheetView tabSelected="1" workbookViewId="0">
      <pane ySplit="1" topLeftCell="A2" activePane="bottomLeft" state="frozen"/>
      <selection pane="bottomLeft" activeCell="D281" sqref="D281"/>
    </sheetView>
  </sheetViews>
  <sheetFormatPr defaultRowHeight="15" x14ac:dyDescent="0.25"/>
  <cols>
    <col min="1" max="1" width="18.7109375" bestFit="1" customWidth="1"/>
    <col min="2" max="2" width="38.7109375" bestFit="1" customWidth="1"/>
    <col min="3" max="3" width="40.28515625" bestFit="1" customWidth="1"/>
    <col min="4" max="4" width="21.85546875" bestFit="1" customWidth="1"/>
    <col min="5" max="5" width="19.7109375" bestFit="1" customWidth="1"/>
    <col min="6" max="6" width="13.85546875" bestFit="1" customWidth="1"/>
    <col min="7" max="7" width="27.5703125" bestFit="1" customWidth="1"/>
    <col min="8" max="8" width="17.28515625" bestFit="1" customWidth="1"/>
    <col min="9" max="9" width="14" bestFit="1" customWidth="1"/>
    <col min="10" max="10" width="14" customWidth="1"/>
    <col min="11" max="11" width="14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t="s">
        <v>1153</v>
      </c>
      <c r="B2" t="s">
        <v>1162</v>
      </c>
      <c r="C2" t="s">
        <v>1155</v>
      </c>
      <c r="D2">
        <v>7993</v>
      </c>
      <c r="E2">
        <v>1500</v>
      </c>
      <c r="F2">
        <v>420</v>
      </c>
      <c r="G2">
        <v>2.5</v>
      </c>
      <c r="H2">
        <v>18000000</v>
      </c>
      <c r="I2" t="s">
        <v>18</v>
      </c>
      <c r="J2">
        <v>2</v>
      </c>
      <c r="K2">
        <v>1600</v>
      </c>
    </row>
    <row r="3" spans="1:11" hidden="1" x14ac:dyDescent="0.25">
      <c r="A3" t="s">
        <v>1153</v>
      </c>
      <c r="B3" t="s">
        <v>1161</v>
      </c>
      <c r="C3" t="s">
        <v>1155</v>
      </c>
      <c r="D3">
        <v>7993</v>
      </c>
      <c r="E3">
        <v>1600</v>
      </c>
      <c r="F3">
        <v>380</v>
      </c>
      <c r="G3">
        <v>2.4</v>
      </c>
      <c r="H3">
        <v>9000000</v>
      </c>
      <c r="I3" t="s">
        <v>18</v>
      </c>
      <c r="J3">
        <v>2</v>
      </c>
      <c r="K3">
        <v>1600</v>
      </c>
    </row>
    <row r="4" spans="1:11" hidden="1" x14ac:dyDescent="0.25">
      <c r="A4" t="s">
        <v>910</v>
      </c>
      <c r="B4" t="s">
        <v>1597</v>
      </c>
      <c r="C4" t="s">
        <v>1598</v>
      </c>
      <c r="D4">
        <v>2620</v>
      </c>
      <c r="E4">
        <v>700</v>
      </c>
      <c r="F4">
        <v>320</v>
      </c>
      <c r="G4">
        <v>3.5</v>
      </c>
      <c r="H4">
        <v>6000000</v>
      </c>
      <c r="I4" t="s">
        <v>18</v>
      </c>
      <c r="J4">
        <v>1</v>
      </c>
      <c r="K4">
        <v>500</v>
      </c>
    </row>
    <row r="5" spans="1:11" hidden="1" x14ac:dyDescent="0.25">
      <c r="A5" t="s">
        <v>1153</v>
      </c>
      <c r="B5" t="s">
        <v>1160</v>
      </c>
      <c r="C5" t="s">
        <v>1155</v>
      </c>
      <c r="D5">
        <v>7993</v>
      </c>
      <c r="E5">
        <v>1500</v>
      </c>
      <c r="F5">
        <v>380</v>
      </c>
      <c r="G5">
        <v>2.4</v>
      </c>
      <c r="H5">
        <v>5800000</v>
      </c>
      <c r="I5" t="s">
        <v>18</v>
      </c>
      <c r="J5">
        <v>2</v>
      </c>
      <c r="K5">
        <v>1600</v>
      </c>
    </row>
    <row r="6" spans="1:11" hidden="1" x14ac:dyDescent="0.25">
      <c r="A6" t="s">
        <v>1153</v>
      </c>
      <c r="B6" t="s">
        <v>680</v>
      </c>
      <c r="C6" t="s">
        <v>1155</v>
      </c>
      <c r="D6">
        <v>7993</v>
      </c>
      <c r="E6">
        <v>1600</v>
      </c>
      <c r="F6">
        <v>420</v>
      </c>
      <c r="G6">
        <v>2.4</v>
      </c>
      <c r="H6">
        <v>5000000</v>
      </c>
      <c r="I6" t="s">
        <v>18</v>
      </c>
      <c r="J6">
        <v>2</v>
      </c>
      <c r="K6">
        <v>1600</v>
      </c>
    </row>
    <row r="7" spans="1:11" hidden="1" x14ac:dyDescent="0.25">
      <c r="A7" t="s">
        <v>1153</v>
      </c>
      <c r="B7" t="s">
        <v>1163</v>
      </c>
      <c r="C7" t="s">
        <v>1155</v>
      </c>
      <c r="D7">
        <v>7993</v>
      </c>
      <c r="E7">
        <v>1850</v>
      </c>
      <c r="F7">
        <v>500</v>
      </c>
      <c r="G7">
        <v>2.2000000000000002</v>
      </c>
      <c r="H7">
        <v>4500000</v>
      </c>
      <c r="I7" t="s">
        <v>18</v>
      </c>
      <c r="J7">
        <v>2</v>
      </c>
      <c r="K7">
        <v>1600</v>
      </c>
    </row>
    <row r="8" spans="1:11" hidden="1" x14ac:dyDescent="0.25">
      <c r="A8" t="s">
        <v>33</v>
      </c>
      <c r="B8" t="s">
        <v>34</v>
      </c>
      <c r="C8" t="s">
        <v>17</v>
      </c>
      <c r="D8">
        <v>6498</v>
      </c>
      <c r="E8">
        <v>750</v>
      </c>
      <c r="F8">
        <v>356</v>
      </c>
      <c r="G8">
        <v>2.9</v>
      </c>
      <c r="H8">
        <v>4500000</v>
      </c>
      <c r="I8" t="s">
        <v>18</v>
      </c>
      <c r="J8">
        <v>2</v>
      </c>
      <c r="K8">
        <v>690</v>
      </c>
    </row>
    <row r="9" spans="1:11" hidden="1" x14ac:dyDescent="0.25">
      <c r="A9" t="s">
        <v>1153</v>
      </c>
      <c r="B9" t="s">
        <v>1157</v>
      </c>
      <c r="C9" t="s">
        <v>1155</v>
      </c>
      <c r="D9">
        <v>7993</v>
      </c>
      <c r="E9">
        <v>1600</v>
      </c>
      <c r="F9">
        <v>490</v>
      </c>
      <c r="G9">
        <v>2.4</v>
      </c>
      <c r="H9">
        <v>3500000</v>
      </c>
      <c r="I9" t="s">
        <v>18</v>
      </c>
      <c r="J9">
        <v>2</v>
      </c>
      <c r="K9">
        <v>1600</v>
      </c>
    </row>
    <row r="10" spans="1:11" hidden="1" x14ac:dyDescent="0.25">
      <c r="A10" t="s">
        <v>1153</v>
      </c>
      <c r="B10" t="s">
        <v>1156</v>
      </c>
      <c r="C10" t="s">
        <v>1155</v>
      </c>
      <c r="D10">
        <v>7993</v>
      </c>
      <c r="E10">
        <v>1500</v>
      </c>
      <c r="F10">
        <v>350</v>
      </c>
      <c r="G10">
        <v>2.2999999999999998</v>
      </c>
      <c r="H10">
        <v>3300000</v>
      </c>
      <c r="I10" t="s">
        <v>18</v>
      </c>
      <c r="J10">
        <v>2</v>
      </c>
      <c r="K10">
        <v>1600</v>
      </c>
    </row>
    <row r="11" spans="1:11" hidden="1" x14ac:dyDescent="0.25">
      <c r="A11" t="s">
        <v>1153</v>
      </c>
      <c r="B11" t="s">
        <v>1158</v>
      </c>
      <c r="C11" t="s">
        <v>1155</v>
      </c>
      <c r="D11">
        <v>7993</v>
      </c>
      <c r="E11">
        <v>1500</v>
      </c>
      <c r="F11">
        <v>420</v>
      </c>
      <c r="G11">
        <v>2.4</v>
      </c>
      <c r="H11">
        <v>3300000</v>
      </c>
      <c r="I11" t="s">
        <v>18</v>
      </c>
      <c r="J11">
        <v>2</v>
      </c>
      <c r="K11">
        <v>1600</v>
      </c>
    </row>
    <row r="12" spans="1:11" hidden="1" x14ac:dyDescent="0.25">
      <c r="A12" t="s">
        <v>1153</v>
      </c>
      <c r="B12" t="s">
        <v>1159</v>
      </c>
      <c r="C12" t="s">
        <v>1155</v>
      </c>
      <c r="D12">
        <v>7993</v>
      </c>
      <c r="E12">
        <v>1500</v>
      </c>
      <c r="F12">
        <v>420</v>
      </c>
      <c r="G12">
        <v>2.5</v>
      </c>
      <c r="H12">
        <v>3300000</v>
      </c>
      <c r="I12" t="s">
        <v>18</v>
      </c>
      <c r="J12">
        <v>2</v>
      </c>
      <c r="K12">
        <v>1600</v>
      </c>
    </row>
    <row r="13" spans="1:11" hidden="1" x14ac:dyDescent="0.25">
      <c r="A13" t="s">
        <v>29</v>
      </c>
      <c r="B13" t="s">
        <v>64</v>
      </c>
      <c r="C13" t="s">
        <v>17</v>
      </c>
      <c r="D13">
        <v>6496</v>
      </c>
      <c r="E13">
        <v>1160</v>
      </c>
      <c r="F13">
        <v>402</v>
      </c>
      <c r="G13">
        <v>2.5</v>
      </c>
      <c r="H13">
        <v>3200000</v>
      </c>
      <c r="I13" t="s">
        <v>65</v>
      </c>
      <c r="J13">
        <v>2</v>
      </c>
      <c r="K13">
        <v>900</v>
      </c>
    </row>
    <row r="14" spans="1:11" hidden="1" x14ac:dyDescent="0.25">
      <c r="A14" t="s">
        <v>1153</v>
      </c>
      <c r="B14" t="s">
        <v>1154</v>
      </c>
      <c r="C14" t="s">
        <v>1155</v>
      </c>
      <c r="D14">
        <v>7993</v>
      </c>
      <c r="E14">
        <v>1500</v>
      </c>
      <c r="F14">
        <v>420</v>
      </c>
      <c r="G14">
        <v>2.5</v>
      </c>
      <c r="H14">
        <v>3000000</v>
      </c>
      <c r="I14" t="s">
        <v>18</v>
      </c>
      <c r="J14">
        <v>2</v>
      </c>
      <c r="K14">
        <v>1600</v>
      </c>
    </row>
    <row r="15" spans="1:11" hidden="1" x14ac:dyDescent="0.25">
      <c r="A15" t="s">
        <v>33</v>
      </c>
      <c r="B15" t="s">
        <v>75</v>
      </c>
      <c r="C15" t="s">
        <v>17</v>
      </c>
      <c r="D15">
        <v>6498</v>
      </c>
      <c r="E15">
        <v>819</v>
      </c>
      <c r="F15">
        <v>350</v>
      </c>
      <c r="G15">
        <v>2.8</v>
      </c>
      <c r="H15">
        <v>2800000</v>
      </c>
      <c r="I15" t="s">
        <v>65</v>
      </c>
      <c r="J15">
        <v>2</v>
      </c>
      <c r="K15">
        <v>720</v>
      </c>
    </row>
    <row r="16" spans="1:11" hidden="1" x14ac:dyDescent="0.25">
      <c r="A16" t="s">
        <v>11</v>
      </c>
      <c r="B16" t="s">
        <v>39</v>
      </c>
      <c r="C16" t="s">
        <v>17</v>
      </c>
      <c r="D16">
        <v>6496</v>
      </c>
      <c r="E16">
        <v>789</v>
      </c>
      <c r="F16">
        <v>340</v>
      </c>
      <c r="G16">
        <v>2.9</v>
      </c>
      <c r="H16">
        <v>1700000</v>
      </c>
      <c r="I16" t="s">
        <v>18</v>
      </c>
      <c r="J16">
        <v>2</v>
      </c>
      <c r="K16">
        <v>719</v>
      </c>
    </row>
    <row r="17" spans="1:11" hidden="1" x14ac:dyDescent="0.25">
      <c r="A17" t="s">
        <v>29</v>
      </c>
      <c r="B17" t="s">
        <v>74</v>
      </c>
      <c r="C17" t="s">
        <v>17</v>
      </c>
      <c r="D17">
        <v>5204</v>
      </c>
      <c r="E17">
        <v>836</v>
      </c>
      <c r="F17">
        <v>320</v>
      </c>
      <c r="G17">
        <v>2.8</v>
      </c>
      <c r="H17">
        <v>1300000</v>
      </c>
      <c r="I17" t="s">
        <v>18</v>
      </c>
      <c r="J17">
        <v>2</v>
      </c>
      <c r="K17">
        <v>821</v>
      </c>
    </row>
    <row r="18" spans="1:11" hidden="1" x14ac:dyDescent="0.25">
      <c r="A18" t="s">
        <v>29</v>
      </c>
      <c r="B18" t="s">
        <v>73</v>
      </c>
      <c r="C18" t="s">
        <v>17</v>
      </c>
      <c r="D18">
        <v>5935</v>
      </c>
      <c r="E18">
        <v>540</v>
      </c>
      <c r="F18">
        <v>314</v>
      </c>
      <c r="G18">
        <v>4.2</v>
      </c>
      <c r="H18">
        <v>1100000</v>
      </c>
      <c r="I18" t="s">
        <v>18</v>
      </c>
      <c r="J18">
        <v>4</v>
      </c>
      <c r="K18">
        <v>630</v>
      </c>
    </row>
    <row r="19" spans="1:11" hidden="1" x14ac:dyDescent="0.25">
      <c r="A19" t="s">
        <v>29</v>
      </c>
      <c r="B19" t="s">
        <v>66</v>
      </c>
      <c r="C19" t="s">
        <v>13</v>
      </c>
      <c r="D19">
        <v>3996</v>
      </c>
      <c r="E19">
        <v>1000</v>
      </c>
      <c r="F19">
        <v>362</v>
      </c>
      <c r="G19">
        <v>2.5</v>
      </c>
      <c r="H19">
        <v>1100000</v>
      </c>
      <c r="I19" t="s">
        <v>65</v>
      </c>
      <c r="J19">
        <v>2</v>
      </c>
      <c r="K19">
        <v>1000</v>
      </c>
    </row>
    <row r="20" spans="1:11" hidden="1" x14ac:dyDescent="0.25">
      <c r="A20" t="s">
        <v>11</v>
      </c>
      <c r="B20" t="s">
        <v>12</v>
      </c>
      <c r="C20" t="s">
        <v>13</v>
      </c>
      <c r="D20">
        <v>3990</v>
      </c>
      <c r="E20">
        <v>963</v>
      </c>
      <c r="F20">
        <v>340</v>
      </c>
      <c r="G20">
        <v>2.5</v>
      </c>
      <c r="H20">
        <v>1100000</v>
      </c>
      <c r="I20" t="s">
        <v>14</v>
      </c>
      <c r="J20">
        <v>2</v>
      </c>
      <c r="K20">
        <v>800</v>
      </c>
    </row>
    <row r="21" spans="1:11" hidden="1" x14ac:dyDescent="0.25">
      <c r="A21" t="s">
        <v>52</v>
      </c>
      <c r="B21" t="s">
        <v>556</v>
      </c>
      <c r="C21" t="s">
        <v>535</v>
      </c>
      <c r="D21">
        <v>3799</v>
      </c>
      <c r="F21">
        <v>315</v>
      </c>
      <c r="G21">
        <v>2.5</v>
      </c>
      <c r="H21">
        <v>1100000</v>
      </c>
      <c r="I21" t="s">
        <v>18</v>
      </c>
      <c r="J21">
        <v>2</v>
      </c>
      <c r="K21">
        <v>780</v>
      </c>
    </row>
    <row r="22" spans="1:11" hidden="1" x14ac:dyDescent="0.25">
      <c r="A22" t="s">
        <v>52</v>
      </c>
      <c r="B22" t="s">
        <v>635</v>
      </c>
      <c r="C22" t="s">
        <v>636</v>
      </c>
      <c r="D22">
        <v>3495</v>
      </c>
      <c r="F22">
        <v>354</v>
      </c>
      <c r="G22">
        <v>3.3</v>
      </c>
      <c r="H22">
        <v>1000000</v>
      </c>
      <c r="I22" t="s">
        <v>18</v>
      </c>
      <c r="J22">
        <v>2</v>
      </c>
      <c r="K22">
        <v>637</v>
      </c>
    </row>
    <row r="23" spans="1:11" hidden="1" x14ac:dyDescent="0.25">
      <c r="A23" t="s">
        <v>701</v>
      </c>
      <c r="B23" t="s">
        <v>815</v>
      </c>
      <c r="C23" t="s">
        <v>816</v>
      </c>
      <c r="D23">
        <v>4194</v>
      </c>
      <c r="E23">
        <v>515</v>
      </c>
      <c r="F23">
        <v>296</v>
      </c>
      <c r="G23">
        <v>3.1</v>
      </c>
      <c r="H23">
        <v>750000</v>
      </c>
      <c r="I23" t="s">
        <v>18</v>
      </c>
      <c r="J23">
        <v>1</v>
      </c>
      <c r="K23">
        <v>480</v>
      </c>
    </row>
    <row r="24" spans="1:11" hidden="1" x14ac:dyDescent="0.25">
      <c r="A24" t="s">
        <v>33</v>
      </c>
      <c r="B24" t="s">
        <v>94</v>
      </c>
      <c r="C24" t="s">
        <v>17</v>
      </c>
      <c r="D24">
        <v>6498</v>
      </c>
      <c r="E24">
        <v>759</v>
      </c>
      <c r="F24">
        <v>350</v>
      </c>
      <c r="G24">
        <v>2.9</v>
      </c>
      <c r="H24">
        <v>603000</v>
      </c>
      <c r="I24" t="s">
        <v>18</v>
      </c>
      <c r="J24">
        <v>2</v>
      </c>
      <c r="K24">
        <v>720</v>
      </c>
    </row>
    <row r="25" spans="1:11" hidden="1" x14ac:dyDescent="0.25">
      <c r="A25" t="s">
        <v>52</v>
      </c>
      <c r="B25" t="s">
        <v>626</v>
      </c>
      <c r="C25" t="s">
        <v>627</v>
      </c>
      <c r="D25">
        <v>3000</v>
      </c>
      <c r="F25">
        <v>320</v>
      </c>
      <c r="G25">
        <v>3</v>
      </c>
      <c r="H25">
        <v>600000</v>
      </c>
      <c r="I25" t="s">
        <v>65</v>
      </c>
      <c r="J25">
        <v>2</v>
      </c>
      <c r="K25">
        <v>650</v>
      </c>
    </row>
    <row r="26" spans="1:11" hidden="1" x14ac:dyDescent="0.25">
      <c r="A26" t="s">
        <v>33</v>
      </c>
      <c r="B26" t="s">
        <v>89</v>
      </c>
      <c r="C26" t="s">
        <v>17</v>
      </c>
      <c r="D26">
        <v>6498</v>
      </c>
      <c r="E26">
        <v>759</v>
      </c>
      <c r="F26">
        <v>350</v>
      </c>
      <c r="G26">
        <v>2.9</v>
      </c>
      <c r="H26">
        <v>573000</v>
      </c>
      <c r="I26" t="s">
        <v>18</v>
      </c>
      <c r="J26">
        <v>2</v>
      </c>
      <c r="K26">
        <v>720</v>
      </c>
    </row>
    <row r="27" spans="1:11" hidden="1" x14ac:dyDescent="0.25">
      <c r="A27" t="s">
        <v>33</v>
      </c>
      <c r="B27" t="s">
        <v>97</v>
      </c>
      <c r="C27" t="s">
        <v>17</v>
      </c>
      <c r="D27">
        <v>6498</v>
      </c>
      <c r="E27">
        <v>769</v>
      </c>
      <c r="F27">
        <v>355</v>
      </c>
      <c r="G27">
        <v>2.8</v>
      </c>
      <c r="H27">
        <v>573000</v>
      </c>
      <c r="I27" t="s">
        <v>18</v>
      </c>
      <c r="J27">
        <v>2</v>
      </c>
      <c r="K27">
        <v>720</v>
      </c>
    </row>
    <row r="28" spans="1:11" hidden="1" x14ac:dyDescent="0.25">
      <c r="A28" t="s">
        <v>33</v>
      </c>
      <c r="B28" t="s">
        <v>87</v>
      </c>
      <c r="C28" t="s">
        <v>17</v>
      </c>
      <c r="D28">
        <v>6498</v>
      </c>
      <c r="E28">
        <v>769</v>
      </c>
      <c r="F28">
        <v>355</v>
      </c>
      <c r="G28">
        <v>2.8</v>
      </c>
      <c r="H28">
        <v>545000</v>
      </c>
      <c r="I28" t="s">
        <v>18</v>
      </c>
      <c r="J28">
        <v>2</v>
      </c>
      <c r="K28">
        <v>720</v>
      </c>
    </row>
    <row r="29" spans="1:11" hidden="1" x14ac:dyDescent="0.25">
      <c r="A29" t="s">
        <v>33</v>
      </c>
      <c r="B29" t="s">
        <v>92</v>
      </c>
      <c r="C29" t="s">
        <v>17</v>
      </c>
      <c r="D29">
        <v>6498</v>
      </c>
      <c r="E29">
        <v>769</v>
      </c>
      <c r="F29">
        <v>355</v>
      </c>
      <c r="G29">
        <v>2.8</v>
      </c>
      <c r="H29">
        <v>545000</v>
      </c>
      <c r="I29" t="s">
        <v>18</v>
      </c>
      <c r="J29">
        <v>2</v>
      </c>
      <c r="K29">
        <v>720</v>
      </c>
    </row>
    <row r="30" spans="1:11" hidden="1" x14ac:dyDescent="0.25">
      <c r="A30" t="s">
        <v>33</v>
      </c>
      <c r="B30" t="s">
        <v>76</v>
      </c>
      <c r="C30" t="s">
        <v>17</v>
      </c>
      <c r="D30">
        <v>6498</v>
      </c>
      <c r="E30">
        <v>759</v>
      </c>
      <c r="F30">
        <v>350</v>
      </c>
      <c r="G30">
        <v>2.8</v>
      </c>
      <c r="H30">
        <v>518000</v>
      </c>
      <c r="I30" t="s">
        <v>18</v>
      </c>
      <c r="J30">
        <v>2</v>
      </c>
      <c r="K30">
        <v>720</v>
      </c>
    </row>
    <row r="31" spans="1:11" hidden="1" x14ac:dyDescent="0.25">
      <c r="A31" t="s">
        <v>15</v>
      </c>
      <c r="B31" t="s">
        <v>153</v>
      </c>
      <c r="C31" t="s">
        <v>17</v>
      </c>
      <c r="D31">
        <v>6749</v>
      </c>
      <c r="E31">
        <v>563</v>
      </c>
      <c r="F31">
        <v>250</v>
      </c>
      <c r="G31">
        <v>5.3</v>
      </c>
      <c r="H31">
        <v>515000</v>
      </c>
      <c r="I31" t="s">
        <v>18</v>
      </c>
      <c r="J31">
        <v>5</v>
      </c>
      <c r="K31">
        <v>900</v>
      </c>
    </row>
    <row r="32" spans="1:11" hidden="1" x14ac:dyDescent="0.25">
      <c r="A32" t="s">
        <v>15</v>
      </c>
      <c r="B32" t="s">
        <v>102</v>
      </c>
      <c r="C32" t="s">
        <v>17</v>
      </c>
      <c r="D32">
        <v>6749</v>
      </c>
      <c r="E32">
        <v>563</v>
      </c>
      <c r="F32">
        <v>250</v>
      </c>
      <c r="G32">
        <v>5.3</v>
      </c>
      <c r="H32">
        <v>500000</v>
      </c>
      <c r="I32" t="s">
        <v>18</v>
      </c>
      <c r="J32">
        <v>5</v>
      </c>
      <c r="K32">
        <v>900</v>
      </c>
    </row>
    <row r="33" spans="1:11" hidden="1" x14ac:dyDescent="0.25">
      <c r="A33" t="s">
        <v>19</v>
      </c>
      <c r="B33" t="s">
        <v>1350</v>
      </c>
      <c r="C33" t="s">
        <v>1351</v>
      </c>
      <c r="D33">
        <v>3500</v>
      </c>
      <c r="E33">
        <v>660</v>
      </c>
      <c r="F33">
        <v>348</v>
      </c>
      <c r="G33">
        <v>3</v>
      </c>
      <c r="H33">
        <v>500000</v>
      </c>
      <c r="I33" t="s">
        <v>18</v>
      </c>
      <c r="J33">
        <v>2</v>
      </c>
      <c r="K33">
        <v>746</v>
      </c>
    </row>
    <row r="34" spans="1:11" x14ac:dyDescent="0.25">
      <c r="A34" t="s">
        <v>1636</v>
      </c>
      <c r="B34" t="s">
        <v>28</v>
      </c>
      <c r="C34" t="s">
        <v>13</v>
      </c>
      <c r="D34">
        <v>3994</v>
      </c>
      <c r="E34">
        <v>710</v>
      </c>
      <c r="F34">
        <v>341</v>
      </c>
      <c r="G34">
        <v>2.9</v>
      </c>
      <c r="H34">
        <v>499000</v>
      </c>
      <c r="I34" t="s">
        <v>18</v>
      </c>
      <c r="J34">
        <v>2</v>
      </c>
      <c r="K34">
        <v>770</v>
      </c>
    </row>
    <row r="35" spans="1:11" hidden="1" x14ac:dyDescent="0.25">
      <c r="A35" t="s">
        <v>15</v>
      </c>
      <c r="B35" t="s">
        <v>148</v>
      </c>
      <c r="C35" t="s">
        <v>17</v>
      </c>
      <c r="D35">
        <v>6749</v>
      </c>
      <c r="E35">
        <v>563</v>
      </c>
      <c r="F35">
        <v>250</v>
      </c>
      <c r="G35">
        <v>5.3</v>
      </c>
      <c r="H35">
        <v>495000</v>
      </c>
      <c r="I35" t="s">
        <v>18</v>
      </c>
      <c r="J35">
        <v>5</v>
      </c>
      <c r="K35">
        <v>900</v>
      </c>
    </row>
    <row r="36" spans="1:11" hidden="1" x14ac:dyDescent="0.25">
      <c r="A36" t="s">
        <v>33</v>
      </c>
      <c r="B36" t="s">
        <v>79</v>
      </c>
      <c r="C36" t="s">
        <v>17</v>
      </c>
      <c r="D36">
        <v>6498</v>
      </c>
      <c r="E36">
        <v>740</v>
      </c>
      <c r="F36">
        <v>350</v>
      </c>
      <c r="G36">
        <v>2.8</v>
      </c>
      <c r="H36">
        <v>493000</v>
      </c>
      <c r="I36" t="s">
        <v>18</v>
      </c>
      <c r="J36">
        <v>2</v>
      </c>
      <c r="K36">
        <v>690</v>
      </c>
    </row>
    <row r="37" spans="1:11" hidden="1" x14ac:dyDescent="0.25">
      <c r="A37" t="s">
        <v>15</v>
      </c>
      <c r="B37" t="s">
        <v>145</v>
      </c>
      <c r="C37" t="s">
        <v>17</v>
      </c>
      <c r="D37">
        <v>6749</v>
      </c>
      <c r="E37">
        <v>563</v>
      </c>
      <c r="F37">
        <v>250</v>
      </c>
      <c r="G37">
        <v>5.3</v>
      </c>
      <c r="H37">
        <v>475000</v>
      </c>
      <c r="I37" t="s">
        <v>18</v>
      </c>
      <c r="J37">
        <v>5</v>
      </c>
      <c r="K37">
        <v>900</v>
      </c>
    </row>
    <row r="38" spans="1:11" hidden="1" x14ac:dyDescent="0.25">
      <c r="A38" t="s">
        <v>15</v>
      </c>
      <c r="B38" t="s">
        <v>16</v>
      </c>
      <c r="C38" t="s">
        <v>17</v>
      </c>
      <c r="D38">
        <v>6749</v>
      </c>
      <c r="E38">
        <v>563</v>
      </c>
      <c r="F38">
        <v>250</v>
      </c>
      <c r="G38">
        <v>5.3</v>
      </c>
      <c r="H38">
        <v>460000</v>
      </c>
      <c r="I38" t="s">
        <v>18</v>
      </c>
      <c r="J38">
        <v>5</v>
      </c>
      <c r="K38">
        <v>900</v>
      </c>
    </row>
    <row r="39" spans="1:11" hidden="1" x14ac:dyDescent="0.25">
      <c r="A39" t="s">
        <v>15</v>
      </c>
      <c r="B39" t="s">
        <v>107</v>
      </c>
      <c r="C39" t="s">
        <v>17</v>
      </c>
      <c r="D39">
        <v>6749</v>
      </c>
      <c r="E39">
        <v>563</v>
      </c>
      <c r="F39">
        <v>250</v>
      </c>
      <c r="G39">
        <v>5.3</v>
      </c>
      <c r="H39">
        <v>450000</v>
      </c>
      <c r="I39" t="s">
        <v>18</v>
      </c>
      <c r="J39">
        <v>4</v>
      </c>
      <c r="K39">
        <v>870</v>
      </c>
    </row>
    <row r="40" spans="1:11" hidden="1" x14ac:dyDescent="0.25">
      <c r="A40" t="s">
        <v>33</v>
      </c>
      <c r="B40" t="s">
        <v>82</v>
      </c>
      <c r="C40" t="s">
        <v>17</v>
      </c>
      <c r="D40">
        <v>6498</v>
      </c>
      <c r="E40">
        <v>700</v>
      </c>
      <c r="F40">
        <v>350</v>
      </c>
      <c r="G40">
        <v>3</v>
      </c>
      <c r="H40">
        <v>445000</v>
      </c>
      <c r="I40" t="s">
        <v>18</v>
      </c>
      <c r="J40">
        <v>2</v>
      </c>
      <c r="K40">
        <v>690</v>
      </c>
    </row>
    <row r="41" spans="1:11" hidden="1" x14ac:dyDescent="0.25">
      <c r="A41" t="s">
        <v>15</v>
      </c>
      <c r="B41" t="s">
        <v>156</v>
      </c>
      <c r="C41" t="s">
        <v>17</v>
      </c>
      <c r="D41">
        <v>6592</v>
      </c>
      <c r="E41">
        <v>563</v>
      </c>
      <c r="F41">
        <v>250</v>
      </c>
      <c r="G41">
        <v>4.8</v>
      </c>
      <c r="H41">
        <v>439000</v>
      </c>
      <c r="I41" t="s">
        <v>18</v>
      </c>
      <c r="J41">
        <v>4</v>
      </c>
      <c r="K41">
        <v>840</v>
      </c>
    </row>
    <row r="42" spans="1:11" hidden="1" x14ac:dyDescent="0.25">
      <c r="A42" t="s">
        <v>15</v>
      </c>
      <c r="B42" t="s">
        <v>157</v>
      </c>
      <c r="C42" t="s">
        <v>17</v>
      </c>
      <c r="D42">
        <v>6749</v>
      </c>
      <c r="E42">
        <v>563</v>
      </c>
      <c r="F42">
        <v>250</v>
      </c>
      <c r="G42">
        <v>5.0999999999999996</v>
      </c>
      <c r="H42">
        <v>421000</v>
      </c>
      <c r="I42" t="s">
        <v>18</v>
      </c>
      <c r="J42">
        <v>5</v>
      </c>
      <c r="K42">
        <v>850</v>
      </c>
    </row>
    <row r="43" spans="1:11" hidden="1" x14ac:dyDescent="0.25">
      <c r="A43" t="s">
        <v>33</v>
      </c>
      <c r="B43" t="s">
        <v>84</v>
      </c>
      <c r="C43" t="s">
        <v>17</v>
      </c>
      <c r="D43">
        <v>6498</v>
      </c>
      <c r="E43">
        <v>740</v>
      </c>
      <c r="F43">
        <v>350</v>
      </c>
      <c r="G43">
        <v>2.9</v>
      </c>
      <c r="H43">
        <v>421000</v>
      </c>
      <c r="I43" t="s">
        <v>18</v>
      </c>
      <c r="J43">
        <v>2</v>
      </c>
      <c r="K43">
        <v>690</v>
      </c>
    </row>
    <row r="44" spans="1:11" hidden="1" x14ac:dyDescent="0.25">
      <c r="A44" t="s">
        <v>15</v>
      </c>
      <c r="B44" t="s">
        <v>151</v>
      </c>
      <c r="C44" t="s">
        <v>17</v>
      </c>
      <c r="D44">
        <v>6592</v>
      </c>
      <c r="E44">
        <v>563</v>
      </c>
      <c r="F44">
        <v>250</v>
      </c>
      <c r="G44">
        <v>4.8</v>
      </c>
      <c r="H44">
        <v>418000</v>
      </c>
      <c r="I44" t="s">
        <v>18</v>
      </c>
      <c r="J44">
        <v>4</v>
      </c>
      <c r="K44">
        <v>840</v>
      </c>
    </row>
    <row r="45" spans="1:11" hidden="1" x14ac:dyDescent="0.25">
      <c r="A45" t="s">
        <v>15</v>
      </c>
      <c r="B45" t="s">
        <v>152</v>
      </c>
      <c r="C45" t="s">
        <v>17</v>
      </c>
      <c r="D45">
        <v>6749</v>
      </c>
      <c r="E45">
        <v>563</v>
      </c>
      <c r="F45">
        <v>250</v>
      </c>
      <c r="G45">
        <v>5.0999999999999996</v>
      </c>
      <c r="H45">
        <v>401000</v>
      </c>
      <c r="I45" t="s">
        <v>18</v>
      </c>
      <c r="J45">
        <v>5</v>
      </c>
      <c r="K45">
        <v>850</v>
      </c>
    </row>
    <row r="46" spans="1:11" hidden="1" x14ac:dyDescent="0.25">
      <c r="A46" t="s">
        <v>15</v>
      </c>
      <c r="B46" t="s">
        <v>143</v>
      </c>
      <c r="C46" t="s">
        <v>17</v>
      </c>
      <c r="D46">
        <v>6592</v>
      </c>
      <c r="E46">
        <v>563</v>
      </c>
      <c r="F46">
        <v>250</v>
      </c>
      <c r="G46">
        <v>4.8</v>
      </c>
      <c r="H46">
        <v>398000</v>
      </c>
      <c r="I46" t="s">
        <v>18</v>
      </c>
      <c r="J46">
        <v>4</v>
      </c>
      <c r="K46">
        <v>840</v>
      </c>
    </row>
    <row r="47" spans="1:11" hidden="1" x14ac:dyDescent="0.25">
      <c r="A47" t="s">
        <v>15</v>
      </c>
      <c r="B47" t="s">
        <v>105</v>
      </c>
      <c r="C47" t="s">
        <v>17</v>
      </c>
      <c r="D47">
        <v>6592</v>
      </c>
      <c r="E47">
        <v>624</v>
      </c>
      <c r="F47">
        <v>250</v>
      </c>
      <c r="G47">
        <v>4.8</v>
      </c>
      <c r="H47">
        <v>390000</v>
      </c>
      <c r="I47" t="s">
        <v>18</v>
      </c>
      <c r="J47">
        <v>4</v>
      </c>
      <c r="K47">
        <v>870</v>
      </c>
    </row>
    <row r="48" spans="1:11" hidden="1" x14ac:dyDescent="0.25">
      <c r="A48" t="s">
        <v>15</v>
      </c>
      <c r="B48" t="s">
        <v>155</v>
      </c>
      <c r="C48" t="s">
        <v>17</v>
      </c>
      <c r="D48">
        <v>6592</v>
      </c>
      <c r="E48">
        <v>623</v>
      </c>
      <c r="F48">
        <v>250</v>
      </c>
      <c r="G48">
        <v>4.5</v>
      </c>
      <c r="H48">
        <v>389000</v>
      </c>
      <c r="I48" t="s">
        <v>18</v>
      </c>
      <c r="J48">
        <v>4</v>
      </c>
      <c r="K48">
        <v>800</v>
      </c>
    </row>
    <row r="49" spans="1:11" hidden="1" x14ac:dyDescent="0.25">
      <c r="A49" t="s">
        <v>15</v>
      </c>
      <c r="B49" t="s">
        <v>144</v>
      </c>
      <c r="C49" t="s">
        <v>17</v>
      </c>
      <c r="D49">
        <v>6749</v>
      </c>
      <c r="E49">
        <v>563</v>
      </c>
      <c r="F49">
        <v>250</v>
      </c>
      <c r="G49">
        <v>5.0999999999999996</v>
      </c>
      <c r="H49">
        <v>381000</v>
      </c>
      <c r="I49" t="s">
        <v>18</v>
      </c>
      <c r="J49">
        <v>5</v>
      </c>
      <c r="K49">
        <v>850</v>
      </c>
    </row>
    <row r="50" spans="1:11" hidden="1" x14ac:dyDescent="0.25">
      <c r="A50" t="s">
        <v>15</v>
      </c>
      <c r="B50" t="s">
        <v>110</v>
      </c>
      <c r="C50" t="s">
        <v>17</v>
      </c>
      <c r="D50">
        <v>6592</v>
      </c>
      <c r="E50">
        <v>624</v>
      </c>
      <c r="F50">
        <v>250</v>
      </c>
      <c r="G50">
        <v>4.9000000000000004</v>
      </c>
      <c r="H50">
        <v>380000</v>
      </c>
      <c r="I50" t="s">
        <v>18</v>
      </c>
      <c r="J50">
        <v>4</v>
      </c>
      <c r="K50">
        <v>870</v>
      </c>
    </row>
    <row r="51" spans="1:11" hidden="1" x14ac:dyDescent="0.25">
      <c r="A51" t="s">
        <v>15</v>
      </c>
      <c r="B51" t="s">
        <v>154</v>
      </c>
      <c r="C51" t="s">
        <v>17</v>
      </c>
      <c r="D51">
        <v>6749</v>
      </c>
      <c r="E51">
        <v>563</v>
      </c>
      <c r="F51">
        <v>250</v>
      </c>
      <c r="G51">
        <v>4.9000000000000004</v>
      </c>
      <c r="H51">
        <v>375000</v>
      </c>
      <c r="I51" t="s">
        <v>18</v>
      </c>
      <c r="J51">
        <v>5</v>
      </c>
      <c r="K51">
        <v>900</v>
      </c>
    </row>
    <row r="52" spans="1:11" hidden="1" x14ac:dyDescent="0.25">
      <c r="A52" t="s">
        <v>15</v>
      </c>
      <c r="B52" t="s">
        <v>103</v>
      </c>
      <c r="C52" t="s">
        <v>17</v>
      </c>
      <c r="D52">
        <v>6592</v>
      </c>
      <c r="E52">
        <v>591</v>
      </c>
      <c r="F52">
        <v>250</v>
      </c>
      <c r="G52">
        <v>4.8</v>
      </c>
      <c r="H52">
        <v>370000</v>
      </c>
      <c r="I52" t="s">
        <v>18</v>
      </c>
      <c r="J52">
        <v>5</v>
      </c>
      <c r="K52">
        <v>850</v>
      </c>
    </row>
    <row r="53" spans="1:11" hidden="1" x14ac:dyDescent="0.25">
      <c r="A53" t="s">
        <v>15</v>
      </c>
      <c r="B53" t="s">
        <v>150</v>
      </c>
      <c r="C53" t="s">
        <v>17</v>
      </c>
      <c r="D53">
        <v>6592</v>
      </c>
      <c r="E53">
        <v>623</v>
      </c>
      <c r="F53">
        <v>250</v>
      </c>
      <c r="G53">
        <v>4.5</v>
      </c>
      <c r="H53">
        <v>369000</v>
      </c>
      <c r="I53" t="s">
        <v>18</v>
      </c>
      <c r="J53">
        <v>4</v>
      </c>
      <c r="K53">
        <v>800</v>
      </c>
    </row>
    <row r="54" spans="1:11" hidden="1" x14ac:dyDescent="0.25">
      <c r="A54" t="s">
        <v>15</v>
      </c>
      <c r="B54" t="s">
        <v>100</v>
      </c>
      <c r="C54" t="s">
        <v>17</v>
      </c>
      <c r="D54">
        <v>6592</v>
      </c>
      <c r="E54">
        <v>624</v>
      </c>
      <c r="F54">
        <v>250</v>
      </c>
      <c r="G54">
        <v>4.9000000000000004</v>
      </c>
      <c r="H54">
        <v>360000</v>
      </c>
      <c r="I54" t="s">
        <v>18</v>
      </c>
      <c r="J54">
        <v>4</v>
      </c>
      <c r="K54">
        <v>870</v>
      </c>
    </row>
    <row r="55" spans="1:11" hidden="1" x14ac:dyDescent="0.25">
      <c r="A55" t="s">
        <v>15</v>
      </c>
      <c r="B55" t="s">
        <v>104</v>
      </c>
      <c r="C55" t="s">
        <v>17</v>
      </c>
      <c r="D55">
        <v>6592</v>
      </c>
      <c r="E55">
        <v>624</v>
      </c>
      <c r="F55">
        <v>250</v>
      </c>
      <c r="G55">
        <v>4.3</v>
      </c>
      <c r="H55">
        <v>360000</v>
      </c>
      <c r="I55" t="s">
        <v>18</v>
      </c>
      <c r="J55">
        <v>4</v>
      </c>
      <c r="K55">
        <v>870</v>
      </c>
    </row>
    <row r="56" spans="1:11" hidden="1" x14ac:dyDescent="0.25">
      <c r="A56" t="s">
        <v>15</v>
      </c>
      <c r="B56" t="s">
        <v>149</v>
      </c>
      <c r="C56" t="s">
        <v>17</v>
      </c>
      <c r="D56">
        <v>6749</v>
      </c>
      <c r="E56">
        <v>563</v>
      </c>
      <c r="F56">
        <v>250</v>
      </c>
      <c r="G56">
        <v>4.9000000000000004</v>
      </c>
      <c r="H56">
        <v>355000</v>
      </c>
      <c r="I56" t="s">
        <v>18</v>
      </c>
      <c r="J56">
        <v>5</v>
      </c>
      <c r="K56">
        <v>900</v>
      </c>
    </row>
    <row r="57" spans="1:11" hidden="1" x14ac:dyDescent="0.25">
      <c r="A57" t="s">
        <v>15</v>
      </c>
      <c r="B57" t="s">
        <v>106</v>
      </c>
      <c r="C57" t="s">
        <v>17</v>
      </c>
      <c r="D57">
        <v>6749</v>
      </c>
      <c r="E57">
        <v>563</v>
      </c>
      <c r="F57">
        <v>250</v>
      </c>
      <c r="G57">
        <v>5.0999999999999996</v>
      </c>
      <c r="H57">
        <v>350000</v>
      </c>
      <c r="I57" t="s">
        <v>18</v>
      </c>
      <c r="J57">
        <v>5</v>
      </c>
      <c r="K57">
        <v>850</v>
      </c>
    </row>
    <row r="58" spans="1:11" hidden="1" x14ac:dyDescent="0.25">
      <c r="A58" t="s">
        <v>11</v>
      </c>
      <c r="B58" t="s">
        <v>36</v>
      </c>
      <c r="C58" t="s">
        <v>17</v>
      </c>
      <c r="D58">
        <v>6496</v>
      </c>
      <c r="E58">
        <v>789</v>
      </c>
      <c r="F58">
        <v>340</v>
      </c>
      <c r="G58">
        <v>2.9</v>
      </c>
      <c r="H58">
        <v>350000</v>
      </c>
      <c r="I58" t="s">
        <v>18</v>
      </c>
      <c r="J58">
        <v>2</v>
      </c>
      <c r="K58">
        <v>718</v>
      </c>
    </row>
    <row r="59" spans="1:11" hidden="1" x14ac:dyDescent="0.25">
      <c r="A59" t="s">
        <v>15</v>
      </c>
      <c r="B59" t="s">
        <v>147</v>
      </c>
      <c r="C59" t="s">
        <v>17</v>
      </c>
      <c r="D59">
        <v>6592</v>
      </c>
      <c r="E59">
        <v>623</v>
      </c>
      <c r="F59">
        <v>250</v>
      </c>
      <c r="G59">
        <v>4.5</v>
      </c>
      <c r="H59">
        <v>349000</v>
      </c>
      <c r="I59" t="s">
        <v>18</v>
      </c>
      <c r="J59">
        <v>4</v>
      </c>
      <c r="K59">
        <v>800</v>
      </c>
    </row>
    <row r="60" spans="1:11" hidden="1" x14ac:dyDescent="0.25">
      <c r="A60" t="s">
        <v>33</v>
      </c>
      <c r="B60" t="s">
        <v>96</v>
      </c>
      <c r="C60" t="s">
        <v>26</v>
      </c>
      <c r="D60">
        <v>5204</v>
      </c>
      <c r="E60">
        <v>640</v>
      </c>
      <c r="F60">
        <v>325</v>
      </c>
      <c r="G60">
        <v>3</v>
      </c>
      <c r="H60">
        <v>342000</v>
      </c>
      <c r="I60" t="s">
        <v>18</v>
      </c>
      <c r="J60">
        <v>2</v>
      </c>
      <c r="K60">
        <v>565</v>
      </c>
    </row>
    <row r="61" spans="1:11" hidden="1" x14ac:dyDescent="0.25">
      <c r="A61" t="s">
        <v>15</v>
      </c>
      <c r="B61" t="s">
        <v>108</v>
      </c>
      <c r="C61" t="s">
        <v>17</v>
      </c>
      <c r="D61">
        <v>6592</v>
      </c>
      <c r="E61">
        <v>591</v>
      </c>
      <c r="F61">
        <v>250</v>
      </c>
      <c r="G61">
        <v>4.8</v>
      </c>
      <c r="H61">
        <v>340000</v>
      </c>
      <c r="I61" t="s">
        <v>18</v>
      </c>
      <c r="J61">
        <v>4</v>
      </c>
      <c r="K61">
        <v>850</v>
      </c>
    </row>
    <row r="62" spans="1:11" hidden="1" x14ac:dyDescent="0.25">
      <c r="A62" t="s">
        <v>15</v>
      </c>
      <c r="B62" t="s">
        <v>146</v>
      </c>
      <c r="C62" t="s">
        <v>17</v>
      </c>
      <c r="D62">
        <v>6749</v>
      </c>
      <c r="E62">
        <v>563</v>
      </c>
      <c r="F62">
        <v>250</v>
      </c>
      <c r="G62">
        <v>4.9000000000000004</v>
      </c>
      <c r="H62">
        <v>335000</v>
      </c>
      <c r="I62" t="s">
        <v>18</v>
      </c>
      <c r="J62">
        <v>5</v>
      </c>
      <c r="K62">
        <v>900</v>
      </c>
    </row>
    <row r="63" spans="1:11" hidden="1" x14ac:dyDescent="0.25">
      <c r="A63" t="s">
        <v>15</v>
      </c>
      <c r="B63" t="s">
        <v>98</v>
      </c>
      <c r="C63" t="s">
        <v>17</v>
      </c>
      <c r="D63">
        <v>6592</v>
      </c>
      <c r="E63">
        <v>591</v>
      </c>
      <c r="F63">
        <v>250</v>
      </c>
      <c r="G63">
        <v>4.8</v>
      </c>
      <c r="H63">
        <v>332000</v>
      </c>
      <c r="I63" t="s">
        <v>18</v>
      </c>
      <c r="J63">
        <v>5</v>
      </c>
      <c r="K63">
        <v>850</v>
      </c>
    </row>
    <row r="64" spans="1:11" hidden="1" x14ac:dyDescent="0.25">
      <c r="A64" t="s">
        <v>15</v>
      </c>
      <c r="B64" t="s">
        <v>99</v>
      </c>
      <c r="C64" t="s">
        <v>17</v>
      </c>
      <c r="D64">
        <v>6592</v>
      </c>
      <c r="E64">
        <v>624</v>
      </c>
      <c r="F64">
        <v>250</v>
      </c>
      <c r="G64">
        <v>4.4000000000000004</v>
      </c>
      <c r="H64">
        <v>330000</v>
      </c>
      <c r="I64" t="s">
        <v>18</v>
      </c>
      <c r="J64">
        <v>4</v>
      </c>
      <c r="K64">
        <v>870</v>
      </c>
    </row>
    <row r="65" spans="1:11" hidden="1" x14ac:dyDescent="0.25">
      <c r="A65" t="s">
        <v>15</v>
      </c>
      <c r="B65" t="s">
        <v>109</v>
      </c>
      <c r="C65" t="s">
        <v>17</v>
      </c>
      <c r="D65">
        <v>6592</v>
      </c>
      <c r="E65">
        <v>624</v>
      </c>
      <c r="F65">
        <v>250</v>
      </c>
      <c r="G65">
        <v>4.4000000000000004</v>
      </c>
      <c r="H65">
        <v>330000</v>
      </c>
      <c r="I65" t="s">
        <v>18</v>
      </c>
      <c r="J65">
        <v>4</v>
      </c>
      <c r="K65">
        <v>870</v>
      </c>
    </row>
    <row r="66" spans="1:11" hidden="1" x14ac:dyDescent="0.25">
      <c r="A66" t="s">
        <v>33</v>
      </c>
      <c r="B66" t="s">
        <v>91</v>
      </c>
      <c r="C66" t="s">
        <v>26</v>
      </c>
      <c r="D66">
        <v>5204</v>
      </c>
      <c r="E66">
        <v>640</v>
      </c>
      <c r="F66">
        <v>325</v>
      </c>
      <c r="G66">
        <v>3</v>
      </c>
      <c r="H66">
        <v>327000</v>
      </c>
      <c r="I66" t="s">
        <v>18</v>
      </c>
      <c r="J66">
        <v>2</v>
      </c>
      <c r="K66">
        <v>565</v>
      </c>
    </row>
    <row r="67" spans="1:11" hidden="1" x14ac:dyDescent="0.25">
      <c r="A67" t="s">
        <v>15</v>
      </c>
      <c r="B67" t="s">
        <v>101</v>
      </c>
      <c r="C67" t="s">
        <v>17</v>
      </c>
      <c r="D67">
        <v>6749</v>
      </c>
      <c r="E67">
        <v>563</v>
      </c>
      <c r="F67">
        <v>250</v>
      </c>
      <c r="G67">
        <v>5.2</v>
      </c>
      <c r="H67">
        <v>325000</v>
      </c>
      <c r="I67" t="s">
        <v>18</v>
      </c>
      <c r="J67">
        <v>5</v>
      </c>
      <c r="K67">
        <v>850</v>
      </c>
    </row>
    <row r="68" spans="1:11" hidden="1" x14ac:dyDescent="0.25">
      <c r="A68" t="s">
        <v>15</v>
      </c>
      <c r="B68" t="s">
        <v>111</v>
      </c>
      <c r="C68" t="s">
        <v>17</v>
      </c>
      <c r="D68">
        <v>6749</v>
      </c>
      <c r="E68">
        <v>563</v>
      </c>
      <c r="F68">
        <v>250</v>
      </c>
      <c r="G68">
        <v>5.2</v>
      </c>
      <c r="H68">
        <v>320000</v>
      </c>
      <c r="I68" t="s">
        <v>18</v>
      </c>
      <c r="J68">
        <v>5</v>
      </c>
      <c r="K68">
        <v>850</v>
      </c>
    </row>
    <row r="69" spans="1:11" hidden="1" x14ac:dyDescent="0.25">
      <c r="A69" t="s">
        <v>29</v>
      </c>
      <c r="B69" t="s">
        <v>67</v>
      </c>
      <c r="C69" t="s">
        <v>17</v>
      </c>
      <c r="D69">
        <v>5204</v>
      </c>
      <c r="E69">
        <v>715</v>
      </c>
      <c r="F69">
        <v>340</v>
      </c>
      <c r="G69">
        <v>3.4</v>
      </c>
      <c r="H69">
        <v>316000</v>
      </c>
      <c r="I69" t="s">
        <v>18</v>
      </c>
      <c r="J69">
        <v>2</v>
      </c>
      <c r="K69">
        <v>900</v>
      </c>
    </row>
    <row r="70" spans="1:11" hidden="1" x14ac:dyDescent="0.25">
      <c r="A70" t="s">
        <v>31</v>
      </c>
      <c r="B70" t="s">
        <v>32</v>
      </c>
      <c r="C70" t="s">
        <v>13</v>
      </c>
      <c r="D70">
        <v>3996</v>
      </c>
      <c r="E70">
        <v>550</v>
      </c>
      <c r="F70">
        <v>318</v>
      </c>
      <c r="G70">
        <v>4</v>
      </c>
      <c r="H70">
        <v>311000</v>
      </c>
      <c r="I70" t="s">
        <v>18</v>
      </c>
      <c r="J70">
        <v>4</v>
      </c>
      <c r="K70">
        <v>900</v>
      </c>
    </row>
    <row r="71" spans="1:11" hidden="1" x14ac:dyDescent="0.25">
      <c r="A71" t="s">
        <v>33</v>
      </c>
      <c r="B71" t="s">
        <v>83</v>
      </c>
      <c r="C71" t="s">
        <v>26</v>
      </c>
      <c r="D71">
        <v>5204</v>
      </c>
      <c r="E71">
        <v>640</v>
      </c>
      <c r="F71">
        <v>325</v>
      </c>
      <c r="G71">
        <v>3.1</v>
      </c>
      <c r="H71">
        <v>308000</v>
      </c>
      <c r="I71" t="s">
        <v>18</v>
      </c>
      <c r="J71">
        <v>2</v>
      </c>
      <c r="K71">
        <v>600</v>
      </c>
    </row>
    <row r="72" spans="1:11" hidden="1" x14ac:dyDescent="0.25">
      <c r="A72" t="s">
        <v>29</v>
      </c>
      <c r="B72" t="s">
        <v>72</v>
      </c>
      <c r="C72" t="s">
        <v>17</v>
      </c>
      <c r="D72">
        <v>5935</v>
      </c>
      <c r="E72">
        <v>580</v>
      </c>
      <c r="F72">
        <v>324</v>
      </c>
      <c r="G72">
        <v>3.6</v>
      </c>
      <c r="H72">
        <v>294000</v>
      </c>
      <c r="I72" t="s">
        <v>18</v>
      </c>
      <c r="J72">
        <v>2</v>
      </c>
      <c r="K72">
        <v>630</v>
      </c>
    </row>
    <row r="73" spans="1:11" hidden="1" x14ac:dyDescent="0.25">
      <c r="A73" t="s">
        <v>701</v>
      </c>
      <c r="B73" t="s">
        <v>812</v>
      </c>
      <c r="C73" t="s">
        <v>734</v>
      </c>
      <c r="D73">
        <v>3745</v>
      </c>
      <c r="E73">
        <v>700</v>
      </c>
      <c r="F73">
        <v>340</v>
      </c>
      <c r="G73">
        <v>2.8</v>
      </c>
      <c r="H73">
        <v>293200</v>
      </c>
      <c r="I73" t="s">
        <v>18</v>
      </c>
      <c r="J73">
        <v>2</v>
      </c>
      <c r="K73">
        <v>750</v>
      </c>
    </row>
    <row r="74" spans="1:11" hidden="1" x14ac:dyDescent="0.25">
      <c r="A74" t="s">
        <v>701</v>
      </c>
      <c r="B74" t="s">
        <v>769</v>
      </c>
      <c r="C74" t="s">
        <v>767</v>
      </c>
      <c r="D74">
        <v>3996</v>
      </c>
      <c r="E74">
        <v>570</v>
      </c>
      <c r="F74">
        <v>310</v>
      </c>
      <c r="G74">
        <v>3.8</v>
      </c>
      <c r="H74">
        <v>290000</v>
      </c>
      <c r="I74" t="s">
        <v>18</v>
      </c>
      <c r="J74">
        <v>4</v>
      </c>
      <c r="K74">
        <v>800</v>
      </c>
    </row>
    <row r="75" spans="1:11" hidden="1" x14ac:dyDescent="0.25">
      <c r="A75" t="s">
        <v>33</v>
      </c>
      <c r="B75" t="s">
        <v>81</v>
      </c>
      <c r="C75" t="s">
        <v>26</v>
      </c>
      <c r="D75">
        <v>5204</v>
      </c>
      <c r="E75">
        <v>610</v>
      </c>
      <c r="F75">
        <v>325</v>
      </c>
      <c r="G75">
        <v>3.4</v>
      </c>
      <c r="H75">
        <v>287000</v>
      </c>
      <c r="I75" t="s">
        <v>18</v>
      </c>
      <c r="J75">
        <v>2</v>
      </c>
      <c r="K75">
        <v>600</v>
      </c>
    </row>
    <row r="76" spans="1:11" hidden="1" x14ac:dyDescent="0.25">
      <c r="A76" t="s">
        <v>33</v>
      </c>
      <c r="B76" t="s">
        <v>85</v>
      </c>
      <c r="C76" t="s">
        <v>26</v>
      </c>
      <c r="D76">
        <v>5204</v>
      </c>
      <c r="E76">
        <v>640</v>
      </c>
      <c r="F76">
        <v>325</v>
      </c>
      <c r="G76">
        <v>3.1</v>
      </c>
      <c r="H76">
        <v>287000</v>
      </c>
      <c r="I76" t="s">
        <v>18</v>
      </c>
      <c r="J76">
        <v>2</v>
      </c>
      <c r="K76">
        <v>600</v>
      </c>
    </row>
    <row r="77" spans="1:11" hidden="1" x14ac:dyDescent="0.25">
      <c r="A77" t="s">
        <v>11</v>
      </c>
      <c r="B77" t="s">
        <v>35</v>
      </c>
      <c r="C77" t="s">
        <v>13</v>
      </c>
      <c r="D77">
        <v>3900</v>
      </c>
      <c r="E77">
        <v>710</v>
      </c>
      <c r="F77">
        <v>340</v>
      </c>
      <c r="G77">
        <v>2.9</v>
      </c>
      <c r="H77">
        <v>280000</v>
      </c>
      <c r="I77" t="s">
        <v>18</v>
      </c>
      <c r="J77">
        <v>2</v>
      </c>
      <c r="K77">
        <v>770</v>
      </c>
    </row>
    <row r="78" spans="1:11" hidden="1" x14ac:dyDescent="0.25">
      <c r="A78" t="s">
        <v>11</v>
      </c>
      <c r="B78" t="s">
        <v>40</v>
      </c>
      <c r="C78" t="s">
        <v>13</v>
      </c>
      <c r="D78">
        <v>3900</v>
      </c>
      <c r="E78">
        <v>710</v>
      </c>
      <c r="F78">
        <v>340</v>
      </c>
      <c r="G78">
        <v>2.9</v>
      </c>
      <c r="H78">
        <v>280000</v>
      </c>
      <c r="I78" t="s">
        <v>18</v>
      </c>
      <c r="J78">
        <v>2</v>
      </c>
      <c r="K78">
        <v>770</v>
      </c>
    </row>
    <row r="79" spans="1:11" hidden="1" x14ac:dyDescent="0.25">
      <c r="A79" t="s">
        <v>33</v>
      </c>
      <c r="B79" t="s">
        <v>77</v>
      </c>
      <c r="C79" t="s">
        <v>26</v>
      </c>
      <c r="D79">
        <v>5204</v>
      </c>
      <c r="E79">
        <v>640</v>
      </c>
      <c r="F79">
        <v>325</v>
      </c>
      <c r="G79">
        <v>2.9</v>
      </c>
      <c r="H79">
        <v>274000</v>
      </c>
      <c r="I79" t="s">
        <v>18</v>
      </c>
      <c r="J79">
        <v>2</v>
      </c>
      <c r="K79">
        <v>600</v>
      </c>
    </row>
    <row r="80" spans="1:11" hidden="1" x14ac:dyDescent="0.25">
      <c r="A80" t="s">
        <v>33</v>
      </c>
      <c r="B80" t="s">
        <v>93</v>
      </c>
      <c r="C80" t="s">
        <v>26</v>
      </c>
      <c r="D80">
        <v>5204</v>
      </c>
      <c r="E80">
        <v>610</v>
      </c>
      <c r="F80">
        <v>325</v>
      </c>
      <c r="G80">
        <v>3.3</v>
      </c>
      <c r="H80">
        <v>273000</v>
      </c>
      <c r="I80" t="s">
        <v>18</v>
      </c>
      <c r="J80">
        <v>2</v>
      </c>
      <c r="K80">
        <v>600</v>
      </c>
    </row>
    <row r="81" spans="1:11" hidden="1" x14ac:dyDescent="0.25">
      <c r="A81" t="s">
        <v>33</v>
      </c>
      <c r="B81" t="s">
        <v>90</v>
      </c>
      <c r="C81" t="s">
        <v>13</v>
      </c>
      <c r="D81">
        <v>3996</v>
      </c>
      <c r="E81">
        <v>671</v>
      </c>
      <c r="F81">
        <v>305</v>
      </c>
      <c r="G81">
        <v>3.3</v>
      </c>
      <c r="H81">
        <v>263000</v>
      </c>
      <c r="I81" t="s">
        <v>18</v>
      </c>
      <c r="J81">
        <v>5</v>
      </c>
      <c r="K81">
        <v>850</v>
      </c>
    </row>
    <row r="82" spans="1:11" hidden="1" x14ac:dyDescent="0.25">
      <c r="A82" t="s">
        <v>33</v>
      </c>
      <c r="B82" t="s">
        <v>78</v>
      </c>
      <c r="C82" t="s">
        <v>26</v>
      </c>
      <c r="D82">
        <v>5204</v>
      </c>
      <c r="E82">
        <v>640</v>
      </c>
      <c r="F82">
        <v>325</v>
      </c>
      <c r="G82">
        <v>2.9</v>
      </c>
      <c r="H82">
        <v>261000</v>
      </c>
      <c r="I82" t="s">
        <v>18</v>
      </c>
      <c r="J82">
        <v>2</v>
      </c>
      <c r="K82">
        <v>600</v>
      </c>
    </row>
    <row r="83" spans="1:11" hidden="1" x14ac:dyDescent="0.25">
      <c r="A83" t="s">
        <v>701</v>
      </c>
      <c r="B83" t="s">
        <v>811</v>
      </c>
      <c r="C83" t="s">
        <v>734</v>
      </c>
      <c r="D83">
        <v>3745</v>
      </c>
      <c r="E83">
        <v>607</v>
      </c>
      <c r="F83">
        <v>330</v>
      </c>
      <c r="G83">
        <v>2.9</v>
      </c>
      <c r="H83">
        <v>258000</v>
      </c>
      <c r="I83" t="s">
        <v>18</v>
      </c>
      <c r="J83">
        <v>4</v>
      </c>
      <c r="K83">
        <v>750</v>
      </c>
    </row>
    <row r="84" spans="1:11" hidden="1" x14ac:dyDescent="0.25">
      <c r="A84" t="s">
        <v>33</v>
      </c>
      <c r="B84" t="s">
        <v>88</v>
      </c>
      <c r="C84" t="s">
        <v>26</v>
      </c>
      <c r="D84">
        <v>5204</v>
      </c>
      <c r="E84">
        <v>610</v>
      </c>
      <c r="F84">
        <v>325</v>
      </c>
      <c r="G84">
        <v>3.3</v>
      </c>
      <c r="H84">
        <v>258000</v>
      </c>
      <c r="I84" t="s">
        <v>18</v>
      </c>
      <c r="J84">
        <v>2</v>
      </c>
      <c r="K84">
        <v>560</v>
      </c>
    </row>
    <row r="85" spans="1:11" hidden="1" x14ac:dyDescent="0.25">
      <c r="A85" t="s">
        <v>24</v>
      </c>
      <c r="B85" t="s">
        <v>25</v>
      </c>
      <c r="C85" t="s">
        <v>26</v>
      </c>
      <c r="D85">
        <v>5204</v>
      </c>
      <c r="E85">
        <v>602</v>
      </c>
      <c r="F85">
        <v>320</v>
      </c>
      <c r="G85">
        <v>3.6</v>
      </c>
      <c r="H85">
        <v>253290</v>
      </c>
      <c r="I85" t="s">
        <v>18</v>
      </c>
      <c r="J85">
        <v>2</v>
      </c>
      <c r="K85">
        <v>560</v>
      </c>
    </row>
    <row r="86" spans="1:11" hidden="1" x14ac:dyDescent="0.25">
      <c r="A86" t="s">
        <v>33</v>
      </c>
      <c r="B86" t="s">
        <v>95</v>
      </c>
      <c r="C86" t="s">
        <v>13</v>
      </c>
      <c r="D86">
        <v>3998</v>
      </c>
      <c r="E86">
        <v>641</v>
      </c>
      <c r="F86">
        <v>305</v>
      </c>
      <c r="G86">
        <v>3.3</v>
      </c>
      <c r="H86">
        <v>253000</v>
      </c>
      <c r="I86" t="s">
        <v>18</v>
      </c>
      <c r="J86">
        <v>5</v>
      </c>
      <c r="K86">
        <v>850</v>
      </c>
    </row>
    <row r="87" spans="1:11" hidden="1" x14ac:dyDescent="0.25">
      <c r="A87" t="s">
        <v>701</v>
      </c>
      <c r="B87" t="s">
        <v>813</v>
      </c>
      <c r="C87" t="s">
        <v>737</v>
      </c>
      <c r="D87">
        <v>3996</v>
      </c>
      <c r="E87">
        <v>510</v>
      </c>
      <c r="F87">
        <v>290</v>
      </c>
      <c r="G87">
        <v>3.4</v>
      </c>
      <c r="H87">
        <v>245000</v>
      </c>
      <c r="I87" t="s">
        <v>18</v>
      </c>
      <c r="J87">
        <v>1</v>
      </c>
      <c r="K87">
        <v>470</v>
      </c>
    </row>
    <row r="88" spans="1:11" hidden="1" x14ac:dyDescent="0.25">
      <c r="A88" t="s">
        <v>33</v>
      </c>
      <c r="B88" t="s">
        <v>86</v>
      </c>
      <c r="C88" t="s">
        <v>13</v>
      </c>
      <c r="D88">
        <v>3996</v>
      </c>
      <c r="E88">
        <v>641</v>
      </c>
      <c r="F88">
        <v>305</v>
      </c>
      <c r="G88">
        <v>3.3</v>
      </c>
      <c r="H88">
        <v>242000</v>
      </c>
      <c r="I88" t="s">
        <v>18</v>
      </c>
      <c r="J88">
        <v>5</v>
      </c>
      <c r="K88">
        <v>850</v>
      </c>
    </row>
    <row r="89" spans="1:11" hidden="1" x14ac:dyDescent="0.25">
      <c r="A89" t="s">
        <v>701</v>
      </c>
      <c r="B89" t="s">
        <v>738</v>
      </c>
      <c r="C89" t="s">
        <v>737</v>
      </c>
      <c r="D89">
        <v>3996</v>
      </c>
      <c r="E89">
        <v>518</v>
      </c>
      <c r="F89">
        <v>296</v>
      </c>
      <c r="G89">
        <v>3.2</v>
      </c>
      <c r="H89">
        <v>241300</v>
      </c>
      <c r="I89" t="s">
        <v>18</v>
      </c>
      <c r="J89">
        <v>2</v>
      </c>
      <c r="K89">
        <v>465</v>
      </c>
    </row>
    <row r="90" spans="1:11" hidden="1" x14ac:dyDescent="0.25">
      <c r="A90" t="s">
        <v>29</v>
      </c>
      <c r="B90" t="s">
        <v>71</v>
      </c>
      <c r="C90" t="s">
        <v>17</v>
      </c>
      <c r="D90">
        <v>5935</v>
      </c>
      <c r="E90">
        <v>580</v>
      </c>
      <c r="F90">
        <v>328</v>
      </c>
      <c r="G90">
        <v>4.2</v>
      </c>
      <c r="H90">
        <v>240000</v>
      </c>
      <c r="I90" t="s">
        <v>18</v>
      </c>
      <c r="J90">
        <v>4</v>
      </c>
      <c r="K90">
        <v>630</v>
      </c>
    </row>
    <row r="91" spans="1:11" hidden="1" x14ac:dyDescent="0.25">
      <c r="A91" t="s">
        <v>11</v>
      </c>
      <c r="B91" t="s">
        <v>42</v>
      </c>
      <c r="C91" t="s">
        <v>13</v>
      </c>
      <c r="D91">
        <v>3900</v>
      </c>
      <c r="E91">
        <v>612</v>
      </c>
      <c r="F91">
        <v>320</v>
      </c>
      <c r="G91">
        <v>3.4</v>
      </c>
      <c r="H91">
        <v>240000</v>
      </c>
      <c r="I91" t="s">
        <v>18</v>
      </c>
      <c r="J91">
        <v>4</v>
      </c>
      <c r="K91">
        <v>760</v>
      </c>
    </row>
    <row r="92" spans="1:11" hidden="1" x14ac:dyDescent="0.25">
      <c r="A92" t="s">
        <v>701</v>
      </c>
      <c r="B92" t="s">
        <v>819</v>
      </c>
      <c r="C92" t="s">
        <v>729</v>
      </c>
      <c r="D92">
        <v>2981</v>
      </c>
      <c r="E92">
        <v>473</v>
      </c>
      <c r="F92">
        <v>240</v>
      </c>
      <c r="G92">
        <v>3.5</v>
      </c>
      <c r="H92">
        <v>233000</v>
      </c>
      <c r="I92" t="s">
        <v>18</v>
      </c>
      <c r="J92">
        <v>4</v>
      </c>
      <c r="K92">
        <v>570</v>
      </c>
    </row>
    <row r="93" spans="1:11" hidden="1" x14ac:dyDescent="0.25">
      <c r="A93" t="s">
        <v>701</v>
      </c>
      <c r="B93" t="s">
        <v>735</v>
      </c>
      <c r="C93" t="s">
        <v>734</v>
      </c>
      <c r="D93">
        <v>3745</v>
      </c>
      <c r="E93">
        <v>640</v>
      </c>
      <c r="F93">
        <v>330</v>
      </c>
      <c r="G93">
        <v>2.6</v>
      </c>
      <c r="H93">
        <v>230400</v>
      </c>
      <c r="I93" t="s">
        <v>18</v>
      </c>
      <c r="J93">
        <v>4</v>
      </c>
      <c r="K93">
        <v>800</v>
      </c>
    </row>
    <row r="94" spans="1:11" hidden="1" x14ac:dyDescent="0.25">
      <c r="A94" t="s">
        <v>11</v>
      </c>
      <c r="B94" t="s">
        <v>38</v>
      </c>
      <c r="C94" t="s">
        <v>13</v>
      </c>
      <c r="D94">
        <v>3900</v>
      </c>
      <c r="E94">
        <v>612</v>
      </c>
      <c r="F94">
        <v>320</v>
      </c>
      <c r="G94">
        <v>3.4</v>
      </c>
      <c r="H94">
        <v>230000</v>
      </c>
      <c r="I94" t="s">
        <v>18</v>
      </c>
      <c r="J94">
        <v>4</v>
      </c>
      <c r="K94">
        <v>760</v>
      </c>
    </row>
    <row r="95" spans="1:11" hidden="1" x14ac:dyDescent="0.25">
      <c r="A95" t="s">
        <v>701</v>
      </c>
      <c r="B95" t="s">
        <v>807</v>
      </c>
      <c r="C95" t="s">
        <v>737</v>
      </c>
      <c r="D95">
        <v>3996</v>
      </c>
      <c r="E95">
        <v>525</v>
      </c>
      <c r="F95">
        <v>296</v>
      </c>
      <c r="G95">
        <v>3.2</v>
      </c>
      <c r="H95">
        <v>223800</v>
      </c>
      <c r="I95" t="s">
        <v>18</v>
      </c>
      <c r="J95">
        <v>2</v>
      </c>
      <c r="K95">
        <v>465</v>
      </c>
    </row>
    <row r="96" spans="1:11" hidden="1" x14ac:dyDescent="0.25">
      <c r="A96" t="s">
        <v>701</v>
      </c>
      <c r="B96" t="s">
        <v>808</v>
      </c>
      <c r="C96" t="s">
        <v>729</v>
      </c>
      <c r="D96">
        <v>2981</v>
      </c>
      <c r="E96">
        <v>473</v>
      </c>
      <c r="F96">
        <v>240</v>
      </c>
      <c r="G96">
        <v>3.4</v>
      </c>
      <c r="H96">
        <v>222000</v>
      </c>
      <c r="I96" t="s">
        <v>18</v>
      </c>
      <c r="J96">
        <v>4</v>
      </c>
      <c r="K96">
        <v>570</v>
      </c>
    </row>
    <row r="97" spans="1:11" hidden="1" x14ac:dyDescent="0.25">
      <c r="A97" t="s">
        <v>701</v>
      </c>
      <c r="B97" t="s">
        <v>814</v>
      </c>
      <c r="C97" t="s">
        <v>737</v>
      </c>
      <c r="D97">
        <v>3996</v>
      </c>
      <c r="E97">
        <v>500</v>
      </c>
      <c r="F97">
        <v>315</v>
      </c>
      <c r="G97">
        <v>3.4</v>
      </c>
      <c r="H97">
        <v>222000</v>
      </c>
      <c r="I97" t="s">
        <v>18</v>
      </c>
      <c r="J97">
        <v>2</v>
      </c>
      <c r="K97">
        <v>450</v>
      </c>
    </row>
    <row r="98" spans="1:11" hidden="1" x14ac:dyDescent="0.25">
      <c r="A98" t="s">
        <v>701</v>
      </c>
      <c r="B98" t="s">
        <v>739</v>
      </c>
      <c r="C98" t="s">
        <v>729</v>
      </c>
      <c r="D98">
        <v>2981</v>
      </c>
      <c r="E98">
        <v>473</v>
      </c>
      <c r="F98">
        <v>240</v>
      </c>
      <c r="G98">
        <v>3.4</v>
      </c>
      <c r="H98">
        <v>222000</v>
      </c>
      <c r="I98" t="s">
        <v>18</v>
      </c>
      <c r="J98">
        <v>2</v>
      </c>
      <c r="K98">
        <v>570</v>
      </c>
    </row>
    <row r="99" spans="1:11" hidden="1" x14ac:dyDescent="0.25">
      <c r="A99" t="s">
        <v>11</v>
      </c>
      <c r="B99" t="s">
        <v>41</v>
      </c>
      <c r="C99" t="s">
        <v>13</v>
      </c>
      <c r="D99">
        <v>3900</v>
      </c>
      <c r="E99">
        <v>612</v>
      </c>
      <c r="F99">
        <v>320</v>
      </c>
      <c r="G99">
        <v>3.2</v>
      </c>
      <c r="H99">
        <v>220000</v>
      </c>
      <c r="I99" t="s">
        <v>18</v>
      </c>
      <c r="J99">
        <v>4</v>
      </c>
      <c r="K99">
        <v>760</v>
      </c>
    </row>
    <row r="100" spans="1:11" hidden="1" x14ac:dyDescent="0.25">
      <c r="A100" t="s">
        <v>52</v>
      </c>
      <c r="B100" t="s">
        <v>534</v>
      </c>
      <c r="C100" t="s">
        <v>535</v>
      </c>
      <c r="D100">
        <v>3799</v>
      </c>
      <c r="F100">
        <v>330</v>
      </c>
      <c r="G100">
        <v>2.9</v>
      </c>
      <c r="H100">
        <v>220000</v>
      </c>
      <c r="I100" t="s">
        <v>18</v>
      </c>
      <c r="J100">
        <v>2</v>
      </c>
      <c r="K100">
        <v>652</v>
      </c>
    </row>
    <row r="101" spans="1:11" hidden="1" x14ac:dyDescent="0.25">
      <c r="A101" t="s">
        <v>52</v>
      </c>
      <c r="B101" t="s">
        <v>656</v>
      </c>
      <c r="C101" t="s">
        <v>535</v>
      </c>
      <c r="D101">
        <v>3799</v>
      </c>
      <c r="F101">
        <v>315</v>
      </c>
      <c r="G101">
        <v>2.8</v>
      </c>
      <c r="H101">
        <v>220000</v>
      </c>
      <c r="I101" t="s">
        <v>18</v>
      </c>
      <c r="J101">
        <v>2</v>
      </c>
      <c r="K101">
        <v>637</v>
      </c>
    </row>
    <row r="102" spans="1:11" hidden="1" x14ac:dyDescent="0.25">
      <c r="A102" t="s">
        <v>33</v>
      </c>
      <c r="B102" t="s">
        <v>80</v>
      </c>
      <c r="C102" t="s">
        <v>13</v>
      </c>
      <c r="D102">
        <v>3996</v>
      </c>
      <c r="E102">
        <v>641</v>
      </c>
      <c r="F102">
        <v>305</v>
      </c>
      <c r="G102">
        <v>3.6</v>
      </c>
      <c r="H102">
        <v>211000</v>
      </c>
      <c r="I102" t="s">
        <v>18</v>
      </c>
      <c r="J102">
        <v>5</v>
      </c>
      <c r="K102">
        <v>850</v>
      </c>
    </row>
    <row r="103" spans="1:11" hidden="1" x14ac:dyDescent="0.25">
      <c r="A103" t="s">
        <v>11</v>
      </c>
      <c r="B103" t="s">
        <v>37</v>
      </c>
      <c r="C103" t="s">
        <v>13</v>
      </c>
      <c r="D103">
        <v>3900</v>
      </c>
      <c r="E103">
        <v>592</v>
      </c>
      <c r="F103">
        <v>320</v>
      </c>
      <c r="G103">
        <v>3.2</v>
      </c>
      <c r="H103">
        <v>210000</v>
      </c>
      <c r="I103" t="s">
        <v>18</v>
      </c>
      <c r="J103">
        <v>4</v>
      </c>
      <c r="K103">
        <v>760</v>
      </c>
    </row>
    <row r="104" spans="1:11" hidden="1" x14ac:dyDescent="0.25">
      <c r="A104" t="s">
        <v>29</v>
      </c>
      <c r="B104" t="s">
        <v>68</v>
      </c>
      <c r="C104" t="s">
        <v>17</v>
      </c>
      <c r="D104">
        <v>5204</v>
      </c>
      <c r="E104">
        <v>600</v>
      </c>
      <c r="F104">
        <v>322</v>
      </c>
      <c r="G104">
        <v>3.9</v>
      </c>
      <c r="H104">
        <v>208000</v>
      </c>
      <c r="I104" t="s">
        <v>18</v>
      </c>
      <c r="J104">
        <v>4</v>
      </c>
      <c r="K104">
        <v>700</v>
      </c>
    </row>
    <row r="105" spans="1:11" hidden="1" x14ac:dyDescent="0.25">
      <c r="A105" t="s">
        <v>701</v>
      </c>
      <c r="B105" t="s">
        <v>805</v>
      </c>
      <c r="C105" t="s">
        <v>734</v>
      </c>
      <c r="D105">
        <v>3745</v>
      </c>
      <c r="E105">
        <v>640</v>
      </c>
      <c r="F105">
        <v>330</v>
      </c>
      <c r="G105">
        <v>2.7</v>
      </c>
      <c r="H105">
        <v>207000</v>
      </c>
      <c r="I105" t="s">
        <v>18</v>
      </c>
      <c r="J105">
        <v>4</v>
      </c>
      <c r="K105">
        <v>800</v>
      </c>
    </row>
    <row r="106" spans="1:11" hidden="1" x14ac:dyDescent="0.25">
      <c r="A106" t="s">
        <v>701</v>
      </c>
      <c r="B106" t="s">
        <v>763</v>
      </c>
      <c r="C106" t="s">
        <v>764</v>
      </c>
      <c r="D106">
        <v>3996</v>
      </c>
      <c r="E106">
        <v>690</v>
      </c>
      <c r="F106">
        <v>315</v>
      </c>
      <c r="G106">
        <v>3.2</v>
      </c>
      <c r="H106">
        <v>200200</v>
      </c>
      <c r="I106" t="s">
        <v>65</v>
      </c>
      <c r="J106">
        <v>4</v>
      </c>
      <c r="K106">
        <v>870</v>
      </c>
    </row>
    <row r="107" spans="1:11" hidden="1" x14ac:dyDescent="0.25">
      <c r="A107" t="s">
        <v>22</v>
      </c>
      <c r="B107" t="s">
        <v>133</v>
      </c>
      <c r="C107" t="s">
        <v>17</v>
      </c>
      <c r="D107">
        <v>5980</v>
      </c>
      <c r="E107">
        <v>630</v>
      </c>
      <c r="F107">
        <v>250</v>
      </c>
      <c r="G107">
        <v>4.7</v>
      </c>
      <c r="H107">
        <v>200000</v>
      </c>
      <c r="I107" t="s">
        <v>18</v>
      </c>
      <c r="J107">
        <v>5</v>
      </c>
      <c r="K107">
        <v>1000</v>
      </c>
    </row>
    <row r="108" spans="1:11" hidden="1" x14ac:dyDescent="0.25">
      <c r="A108" t="s">
        <v>871</v>
      </c>
      <c r="B108" t="s">
        <v>884</v>
      </c>
      <c r="C108" t="s">
        <v>885</v>
      </c>
      <c r="E108">
        <v>1288</v>
      </c>
      <c r="F108">
        <v>402</v>
      </c>
      <c r="G108">
        <v>1.9</v>
      </c>
      <c r="H108">
        <v>200000</v>
      </c>
      <c r="I108" t="s">
        <v>132</v>
      </c>
      <c r="J108">
        <v>4</v>
      </c>
      <c r="K108">
        <v>10000</v>
      </c>
    </row>
    <row r="109" spans="1:11" hidden="1" x14ac:dyDescent="0.25">
      <c r="A109" t="s">
        <v>701</v>
      </c>
      <c r="B109" t="s">
        <v>733</v>
      </c>
      <c r="C109" t="s">
        <v>734</v>
      </c>
      <c r="D109">
        <v>3745</v>
      </c>
      <c r="E109">
        <v>572</v>
      </c>
      <c r="F109">
        <v>320</v>
      </c>
      <c r="G109">
        <v>2.7</v>
      </c>
      <c r="H109">
        <v>197200</v>
      </c>
      <c r="I109" t="s">
        <v>18</v>
      </c>
      <c r="J109">
        <v>4</v>
      </c>
      <c r="K109">
        <v>750</v>
      </c>
    </row>
    <row r="110" spans="1:11" hidden="1" x14ac:dyDescent="0.25">
      <c r="A110" t="s">
        <v>24</v>
      </c>
      <c r="B110" t="s">
        <v>158</v>
      </c>
      <c r="C110" t="s">
        <v>26</v>
      </c>
      <c r="D110">
        <v>5204</v>
      </c>
      <c r="E110">
        <v>610</v>
      </c>
      <c r="F110">
        <v>330</v>
      </c>
      <c r="G110">
        <v>3.2</v>
      </c>
      <c r="H110">
        <v>194000</v>
      </c>
      <c r="I110" t="s">
        <v>18</v>
      </c>
      <c r="J110">
        <v>2</v>
      </c>
      <c r="K110">
        <v>560</v>
      </c>
    </row>
    <row r="111" spans="1:11" hidden="1" x14ac:dyDescent="0.25">
      <c r="A111" t="s">
        <v>29</v>
      </c>
      <c r="B111" t="s">
        <v>30</v>
      </c>
      <c r="C111" t="s">
        <v>13</v>
      </c>
      <c r="D111">
        <v>3982</v>
      </c>
      <c r="E111">
        <v>656</v>
      </c>
      <c r="F111">
        <v>314</v>
      </c>
      <c r="G111">
        <v>3.6</v>
      </c>
      <c r="H111">
        <v>193440</v>
      </c>
      <c r="I111" t="s">
        <v>18</v>
      </c>
      <c r="J111">
        <v>2</v>
      </c>
      <c r="K111">
        <v>685</v>
      </c>
    </row>
    <row r="112" spans="1:11" hidden="1" x14ac:dyDescent="0.25">
      <c r="A112" t="s">
        <v>701</v>
      </c>
      <c r="B112" t="s">
        <v>818</v>
      </c>
      <c r="C112" t="s">
        <v>734</v>
      </c>
      <c r="D112">
        <v>3745</v>
      </c>
      <c r="E112">
        <v>572</v>
      </c>
      <c r="F112">
        <v>318</v>
      </c>
      <c r="G112">
        <v>3</v>
      </c>
      <c r="H112">
        <v>191300</v>
      </c>
      <c r="I112" t="s">
        <v>18</v>
      </c>
      <c r="J112">
        <v>4</v>
      </c>
      <c r="K112">
        <v>750</v>
      </c>
    </row>
    <row r="113" spans="1:11" hidden="1" x14ac:dyDescent="0.25">
      <c r="A113" t="s">
        <v>701</v>
      </c>
      <c r="B113" t="s">
        <v>713</v>
      </c>
      <c r="C113" t="s">
        <v>714</v>
      </c>
      <c r="F113">
        <v>315</v>
      </c>
      <c r="G113">
        <v>3.2</v>
      </c>
      <c r="H113">
        <v>190000</v>
      </c>
      <c r="I113" t="s">
        <v>241</v>
      </c>
      <c r="J113">
        <v>4</v>
      </c>
      <c r="K113">
        <v>870</v>
      </c>
    </row>
    <row r="114" spans="1:11" hidden="1" x14ac:dyDescent="0.25">
      <c r="A114" t="s">
        <v>701</v>
      </c>
      <c r="B114" t="s">
        <v>799</v>
      </c>
      <c r="C114" t="s">
        <v>539</v>
      </c>
      <c r="E114">
        <v>750</v>
      </c>
      <c r="F114">
        <v>260</v>
      </c>
      <c r="G114">
        <v>2.9</v>
      </c>
      <c r="H114">
        <v>190000</v>
      </c>
      <c r="I114" t="s">
        <v>132</v>
      </c>
      <c r="J114">
        <v>4</v>
      </c>
      <c r="K114">
        <v>1050</v>
      </c>
    </row>
    <row r="115" spans="1:11" hidden="1" x14ac:dyDescent="0.25">
      <c r="A115" t="s">
        <v>29</v>
      </c>
      <c r="B115" t="s">
        <v>70</v>
      </c>
      <c r="C115" t="s">
        <v>13</v>
      </c>
      <c r="D115">
        <v>3996</v>
      </c>
      <c r="E115">
        <v>542</v>
      </c>
      <c r="F115">
        <v>291</v>
      </c>
      <c r="G115">
        <v>4.5</v>
      </c>
      <c r="H115">
        <v>189000</v>
      </c>
      <c r="I115" t="s">
        <v>18</v>
      </c>
      <c r="J115">
        <v>5</v>
      </c>
      <c r="K115">
        <v>700</v>
      </c>
    </row>
    <row r="116" spans="1:11" hidden="1" x14ac:dyDescent="0.25">
      <c r="A116" t="s">
        <v>701</v>
      </c>
      <c r="B116" t="s">
        <v>743</v>
      </c>
      <c r="C116" t="s">
        <v>539</v>
      </c>
      <c r="E116">
        <v>750</v>
      </c>
      <c r="F116">
        <v>260</v>
      </c>
      <c r="G116">
        <v>2.8</v>
      </c>
      <c r="H116">
        <v>185000</v>
      </c>
      <c r="I116" t="s">
        <v>132</v>
      </c>
      <c r="J116">
        <v>4</v>
      </c>
      <c r="K116">
        <v>1050</v>
      </c>
    </row>
    <row r="117" spans="1:11" hidden="1" x14ac:dyDescent="0.25">
      <c r="A117" t="s">
        <v>52</v>
      </c>
      <c r="B117" t="s">
        <v>597</v>
      </c>
      <c r="C117" t="s">
        <v>535</v>
      </c>
      <c r="D117">
        <v>3799</v>
      </c>
      <c r="F117">
        <v>330</v>
      </c>
      <c r="G117">
        <v>2.8</v>
      </c>
      <c r="H117">
        <v>185000</v>
      </c>
      <c r="I117" t="s">
        <v>18</v>
      </c>
      <c r="J117">
        <v>2</v>
      </c>
      <c r="K117">
        <v>652</v>
      </c>
    </row>
    <row r="118" spans="1:11" hidden="1" x14ac:dyDescent="0.25">
      <c r="A118" t="s">
        <v>701</v>
      </c>
      <c r="B118" t="s">
        <v>804</v>
      </c>
      <c r="C118" t="s">
        <v>734</v>
      </c>
      <c r="D118">
        <v>3745</v>
      </c>
      <c r="E118">
        <v>572</v>
      </c>
      <c r="F118">
        <v>320</v>
      </c>
      <c r="G118">
        <v>2.9</v>
      </c>
      <c r="H118">
        <v>184100</v>
      </c>
      <c r="I118" t="s">
        <v>18</v>
      </c>
      <c r="J118">
        <v>4</v>
      </c>
      <c r="K118">
        <v>750</v>
      </c>
    </row>
    <row r="119" spans="1:11" hidden="1" x14ac:dyDescent="0.25">
      <c r="A119" t="s">
        <v>701</v>
      </c>
      <c r="B119" t="s">
        <v>785</v>
      </c>
      <c r="C119" t="s">
        <v>764</v>
      </c>
      <c r="D119">
        <v>3996</v>
      </c>
      <c r="E119">
        <v>728</v>
      </c>
      <c r="F119">
        <v>295</v>
      </c>
      <c r="G119">
        <v>3.6</v>
      </c>
      <c r="H119">
        <v>182900</v>
      </c>
      <c r="I119" t="s">
        <v>65</v>
      </c>
      <c r="J119">
        <v>4</v>
      </c>
      <c r="K119">
        <v>950</v>
      </c>
    </row>
    <row r="120" spans="1:11" hidden="1" x14ac:dyDescent="0.25">
      <c r="A120" t="s">
        <v>701</v>
      </c>
      <c r="B120" t="s">
        <v>778</v>
      </c>
      <c r="C120" t="s">
        <v>767</v>
      </c>
      <c r="D120">
        <v>3996</v>
      </c>
      <c r="E120">
        <v>631</v>
      </c>
      <c r="F120">
        <v>300</v>
      </c>
      <c r="G120">
        <v>3.3</v>
      </c>
      <c r="H120">
        <v>182150</v>
      </c>
      <c r="I120" t="s">
        <v>18</v>
      </c>
      <c r="J120">
        <v>4</v>
      </c>
      <c r="K120">
        <v>850</v>
      </c>
    </row>
    <row r="121" spans="1:11" hidden="1" x14ac:dyDescent="0.25">
      <c r="A121" t="s">
        <v>701</v>
      </c>
      <c r="B121" t="s">
        <v>706</v>
      </c>
      <c r="C121" t="s">
        <v>707</v>
      </c>
      <c r="D121">
        <v>3996</v>
      </c>
      <c r="F121">
        <v>315</v>
      </c>
      <c r="G121">
        <v>3.1</v>
      </c>
      <c r="H121">
        <v>180000</v>
      </c>
      <c r="I121" t="s">
        <v>18</v>
      </c>
      <c r="J121">
        <v>4</v>
      </c>
      <c r="K121">
        <v>820</v>
      </c>
    </row>
    <row r="122" spans="1:11" hidden="1" x14ac:dyDescent="0.25">
      <c r="A122" t="s">
        <v>701</v>
      </c>
      <c r="B122" t="s">
        <v>768</v>
      </c>
      <c r="C122" t="s">
        <v>767</v>
      </c>
      <c r="D122">
        <v>3996</v>
      </c>
      <c r="E122">
        <v>550</v>
      </c>
      <c r="F122">
        <v>306</v>
      </c>
      <c r="G122">
        <v>3.8</v>
      </c>
      <c r="H122">
        <v>175200</v>
      </c>
      <c r="I122" t="s">
        <v>18</v>
      </c>
      <c r="J122">
        <v>4</v>
      </c>
      <c r="K122">
        <v>770</v>
      </c>
    </row>
    <row r="123" spans="1:11" hidden="1" x14ac:dyDescent="0.25">
      <c r="A123" t="s">
        <v>52</v>
      </c>
      <c r="B123" t="s">
        <v>578</v>
      </c>
      <c r="C123" t="s">
        <v>535</v>
      </c>
      <c r="D123">
        <v>3799</v>
      </c>
      <c r="F123">
        <v>330</v>
      </c>
      <c r="G123">
        <v>2.8</v>
      </c>
      <c r="H123">
        <v>175000</v>
      </c>
      <c r="I123" t="s">
        <v>18</v>
      </c>
      <c r="J123">
        <v>2</v>
      </c>
      <c r="K123">
        <v>652</v>
      </c>
    </row>
    <row r="124" spans="1:11" hidden="1" x14ac:dyDescent="0.25">
      <c r="A124" t="s">
        <v>43</v>
      </c>
      <c r="B124" t="s">
        <v>311</v>
      </c>
      <c r="C124" t="s">
        <v>312</v>
      </c>
      <c r="D124">
        <v>3456</v>
      </c>
      <c r="E124">
        <v>406</v>
      </c>
      <c r="F124">
        <v>200</v>
      </c>
      <c r="G124">
        <v>6</v>
      </c>
      <c r="H124">
        <v>170000</v>
      </c>
      <c r="I124" t="s">
        <v>18</v>
      </c>
      <c r="J124">
        <v>5</v>
      </c>
      <c r="K124">
        <v>500</v>
      </c>
    </row>
    <row r="125" spans="1:11" hidden="1" x14ac:dyDescent="0.25">
      <c r="A125" t="s">
        <v>701</v>
      </c>
      <c r="B125" t="s">
        <v>721</v>
      </c>
      <c r="C125" t="s">
        <v>714</v>
      </c>
      <c r="F125">
        <v>295</v>
      </c>
      <c r="G125">
        <v>3.6</v>
      </c>
      <c r="H125">
        <v>170000</v>
      </c>
      <c r="I125" t="s">
        <v>241</v>
      </c>
      <c r="J125">
        <v>5</v>
      </c>
      <c r="K125">
        <v>900</v>
      </c>
    </row>
    <row r="126" spans="1:11" hidden="1" x14ac:dyDescent="0.25">
      <c r="A126" t="s">
        <v>701</v>
      </c>
      <c r="B126" t="s">
        <v>806</v>
      </c>
      <c r="C126" t="s">
        <v>737</v>
      </c>
      <c r="D126">
        <v>3996</v>
      </c>
      <c r="E126">
        <v>502</v>
      </c>
      <c r="F126">
        <v>318</v>
      </c>
      <c r="G126">
        <v>3.9</v>
      </c>
      <c r="H126">
        <v>170000</v>
      </c>
      <c r="I126" t="s">
        <v>18</v>
      </c>
      <c r="J126">
        <v>2</v>
      </c>
      <c r="K126">
        <v>470</v>
      </c>
    </row>
    <row r="127" spans="1:11" hidden="1" x14ac:dyDescent="0.25">
      <c r="A127" t="s">
        <v>701</v>
      </c>
      <c r="B127" t="s">
        <v>780</v>
      </c>
      <c r="C127" t="s">
        <v>764</v>
      </c>
      <c r="D127">
        <v>3996</v>
      </c>
      <c r="E127">
        <v>670</v>
      </c>
      <c r="F127">
        <v>295</v>
      </c>
      <c r="G127">
        <v>3.6</v>
      </c>
      <c r="H127">
        <v>167800</v>
      </c>
      <c r="I127" t="s">
        <v>65</v>
      </c>
      <c r="J127">
        <v>4</v>
      </c>
      <c r="K127">
        <v>900</v>
      </c>
    </row>
    <row r="128" spans="1:11" x14ac:dyDescent="0.25">
      <c r="A128" t="s">
        <v>27</v>
      </c>
      <c r="B128" t="s">
        <v>180</v>
      </c>
      <c r="C128" t="s">
        <v>131</v>
      </c>
      <c r="E128">
        <v>369</v>
      </c>
      <c r="F128">
        <v>250</v>
      </c>
      <c r="G128">
        <v>4.4000000000000004</v>
      </c>
      <c r="H128">
        <v>165000</v>
      </c>
      <c r="I128" t="s">
        <v>65</v>
      </c>
      <c r="J128">
        <v>2</v>
      </c>
      <c r="K128">
        <v>570</v>
      </c>
    </row>
    <row r="129" spans="1:11" hidden="1" x14ac:dyDescent="0.25">
      <c r="A129" t="s">
        <v>701</v>
      </c>
      <c r="B129" t="s">
        <v>736</v>
      </c>
      <c r="C129" t="s">
        <v>737</v>
      </c>
      <c r="D129">
        <v>3996</v>
      </c>
      <c r="E129">
        <v>502</v>
      </c>
      <c r="F129">
        <v>318</v>
      </c>
      <c r="G129">
        <v>3.4</v>
      </c>
      <c r="H129">
        <v>161100</v>
      </c>
      <c r="I129" t="s">
        <v>18</v>
      </c>
      <c r="J129">
        <v>2</v>
      </c>
      <c r="K129">
        <v>469</v>
      </c>
    </row>
    <row r="130" spans="1:11" hidden="1" x14ac:dyDescent="0.25">
      <c r="A130" t="s">
        <v>22</v>
      </c>
      <c r="B130" t="s">
        <v>23</v>
      </c>
      <c r="C130" t="s">
        <v>13</v>
      </c>
      <c r="D130">
        <v>3982</v>
      </c>
      <c r="E130">
        <v>630</v>
      </c>
      <c r="F130">
        <v>250</v>
      </c>
      <c r="G130">
        <v>3.2</v>
      </c>
      <c r="H130">
        <v>161000</v>
      </c>
      <c r="I130" t="s">
        <v>18</v>
      </c>
      <c r="J130">
        <v>4</v>
      </c>
      <c r="K130">
        <v>900</v>
      </c>
    </row>
    <row r="131" spans="1:11" hidden="1" x14ac:dyDescent="0.25">
      <c r="A131" t="s">
        <v>213</v>
      </c>
      <c r="B131" t="s">
        <v>1166</v>
      </c>
      <c r="C131" t="s">
        <v>1167</v>
      </c>
      <c r="D131">
        <v>16100</v>
      </c>
      <c r="E131">
        <v>750</v>
      </c>
      <c r="F131">
        <v>120</v>
      </c>
      <c r="G131">
        <v>14.5</v>
      </c>
      <c r="H131">
        <v>160000</v>
      </c>
      <c r="I131" t="s">
        <v>50</v>
      </c>
      <c r="J131">
        <v>2</v>
      </c>
      <c r="K131">
        <v>3500</v>
      </c>
    </row>
    <row r="132" spans="1:11" hidden="1" x14ac:dyDescent="0.25">
      <c r="A132" t="s">
        <v>701</v>
      </c>
      <c r="B132" t="s">
        <v>803</v>
      </c>
      <c r="C132" t="s">
        <v>729</v>
      </c>
      <c r="D132">
        <v>2981</v>
      </c>
      <c r="E132">
        <v>473</v>
      </c>
      <c r="F132">
        <v>307</v>
      </c>
      <c r="G132">
        <v>3.5</v>
      </c>
      <c r="H132">
        <v>157300</v>
      </c>
      <c r="I132" t="s">
        <v>18</v>
      </c>
      <c r="J132">
        <v>4</v>
      </c>
      <c r="K132">
        <v>570</v>
      </c>
    </row>
    <row r="133" spans="1:11" hidden="1" x14ac:dyDescent="0.25">
      <c r="A133" t="s">
        <v>1226</v>
      </c>
      <c r="B133" t="s">
        <v>1252</v>
      </c>
      <c r="C133" t="s">
        <v>1228</v>
      </c>
      <c r="D133">
        <v>3493</v>
      </c>
      <c r="E133">
        <v>537</v>
      </c>
      <c r="F133">
        <v>307</v>
      </c>
      <c r="G133">
        <v>2.9</v>
      </c>
      <c r="H133">
        <v>157000</v>
      </c>
      <c r="I133" t="s">
        <v>65</v>
      </c>
      <c r="J133">
        <v>2</v>
      </c>
      <c r="K133">
        <v>666</v>
      </c>
    </row>
    <row r="134" spans="1:11" hidden="1" x14ac:dyDescent="0.25">
      <c r="A134" t="s">
        <v>1226</v>
      </c>
      <c r="B134" t="s">
        <v>1255</v>
      </c>
      <c r="C134" t="s">
        <v>1228</v>
      </c>
      <c r="D134">
        <v>3493</v>
      </c>
      <c r="E134">
        <v>537</v>
      </c>
      <c r="F134">
        <v>307</v>
      </c>
      <c r="G134">
        <v>2.9</v>
      </c>
      <c r="H134">
        <v>157000</v>
      </c>
      <c r="I134" t="s">
        <v>65</v>
      </c>
      <c r="J134">
        <v>2</v>
      </c>
      <c r="K134">
        <v>666</v>
      </c>
    </row>
    <row r="135" spans="1:11" hidden="1" x14ac:dyDescent="0.25">
      <c r="A135" t="s">
        <v>1226</v>
      </c>
      <c r="B135" t="s">
        <v>1227</v>
      </c>
      <c r="C135" t="s">
        <v>1228</v>
      </c>
      <c r="E135">
        <v>600</v>
      </c>
      <c r="F135">
        <v>307</v>
      </c>
      <c r="G135">
        <v>2.9</v>
      </c>
      <c r="H135">
        <v>157000</v>
      </c>
      <c r="I135" t="s">
        <v>65</v>
      </c>
      <c r="J135">
        <v>2</v>
      </c>
      <c r="K135">
        <v>666</v>
      </c>
    </row>
    <row r="136" spans="1:11" hidden="1" x14ac:dyDescent="0.25">
      <c r="A136" t="s">
        <v>701</v>
      </c>
      <c r="B136" t="s">
        <v>742</v>
      </c>
      <c r="C136" t="s">
        <v>539</v>
      </c>
      <c r="E136">
        <v>670</v>
      </c>
      <c r="F136">
        <v>260</v>
      </c>
      <c r="G136">
        <v>3.2</v>
      </c>
      <c r="H136">
        <v>150900</v>
      </c>
      <c r="I136" t="s">
        <v>132</v>
      </c>
      <c r="J136">
        <v>4</v>
      </c>
      <c r="K136">
        <v>850</v>
      </c>
    </row>
    <row r="137" spans="1:11" hidden="1" x14ac:dyDescent="0.25">
      <c r="A137" t="s">
        <v>1226</v>
      </c>
      <c r="B137" t="s">
        <v>1246</v>
      </c>
      <c r="C137" t="s">
        <v>1228</v>
      </c>
      <c r="D137">
        <v>3493</v>
      </c>
      <c r="E137">
        <v>500</v>
      </c>
      <c r="F137">
        <v>300</v>
      </c>
      <c r="G137">
        <v>3</v>
      </c>
      <c r="H137">
        <v>150000</v>
      </c>
      <c r="I137" t="s">
        <v>65</v>
      </c>
      <c r="J137">
        <v>2</v>
      </c>
      <c r="K137">
        <v>600</v>
      </c>
    </row>
    <row r="138" spans="1:11" hidden="1" x14ac:dyDescent="0.25">
      <c r="A138" t="s">
        <v>351</v>
      </c>
      <c r="B138" t="s">
        <v>471</v>
      </c>
      <c r="C138" t="s">
        <v>472</v>
      </c>
      <c r="E138">
        <v>68</v>
      </c>
      <c r="F138">
        <v>160</v>
      </c>
      <c r="G138">
        <v>11.9</v>
      </c>
      <c r="H138">
        <v>150000</v>
      </c>
      <c r="I138" t="s">
        <v>65</v>
      </c>
      <c r="J138">
        <v>2</v>
      </c>
      <c r="K138">
        <v>140</v>
      </c>
    </row>
    <row r="139" spans="1:11" hidden="1" x14ac:dyDescent="0.25">
      <c r="A139" t="s">
        <v>787</v>
      </c>
      <c r="B139" t="s">
        <v>927</v>
      </c>
      <c r="C139" t="s">
        <v>928</v>
      </c>
      <c r="D139">
        <v>6200</v>
      </c>
      <c r="E139">
        <v>682</v>
      </c>
      <c r="F139">
        <v>200</v>
      </c>
      <c r="G139">
        <v>4.4000000000000004</v>
      </c>
      <c r="H139">
        <v>149990</v>
      </c>
      <c r="I139" t="s">
        <v>18</v>
      </c>
      <c r="J139">
        <v>7</v>
      </c>
      <c r="K139">
        <v>885</v>
      </c>
    </row>
    <row r="140" spans="1:11" x14ac:dyDescent="0.25">
      <c r="A140" t="s">
        <v>27</v>
      </c>
      <c r="B140" t="s">
        <v>141</v>
      </c>
      <c r="C140" t="s">
        <v>13</v>
      </c>
      <c r="D140">
        <v>4395</v>
      </c>
      <c r="E140">
        <v>523</v>
      </c>
      <c r="F140">
        <v>305</v>
      </c>
      <c r="G140">
        <v>3.3</v>
      </c>
      <c r="H140">
        <v>146000</v>
      </c>
      <c r="I140" t="s">
        <v>18</v>
      </c>
      <c r="J140">
        <v>5</v>
      </c>
      <c r="K140">
        <v>750</v>
      </c>
    </row>
    <row r="141" spans="1:11" hidden="1" x14ac:dyDescent="0.25">
      <c r="A141" t="s">
        <v>701</v>
      </c>
      <c r="B141" t="s">
        <v>809</v>
      </c>
      <c r="C141" t="s">
        <v>729</v>
      </c>
      <c r="D141">
        <v>2981</v>
      </c>
      <c r="E141">
        <v>473</v>
      </c>
      <c r="F141">
        <v>311</v>
      </c>
      <c r="G141">
        <v>3.2</v>
      </c>
      <c r="H141">
        <v>145300</v>
      </c>
      <c r="I141" t="s">
        <v>18</v>
      </c>
      <c r="J141">
        <v>4</v>
      </c>
      <c r="K141">
        <v>570</v>
      </c>
    </row>
    <row r="142" spans="1:11" x14ac:dyDescent="0.25">
      <c r="A142" t="s">
        <v>27</v>
      </c>
      <c r="B142" t="s">
        <v>134</v>
      </c>
      <c r="C142" t="s">
        <v>13</v>
      </c>
      <c r="D142">
        <v>4395</v>
      </c>
      <c r="E142">
        <v>627</v>
      </c>
      <c r="F142">
        <v>305</v>
      </c>
      <c r="G142">
        <v>3</v>
      </c>
      <c r="H142">
        <v>142000</v>
      </c>
      <c r="I142" t="s">
        <v>18</v>
      </c>
      <c r="J142">
        <v>5</v>
      </c>
      <c r="K142">
        <v>750</v>
      </c>
    </row>
    <row r="143" spans="1:11" hidden="1" x14ac:dyDescent="0.25">
      <c r="A143" t="s">
        <v>29</v>
      </c>
      <c r="B143" t="s">
        <v>69</v>
      </c>
      <c r="C143" t="s">
        <v>13</v>
      </c>
      <c r="D143">
        <v>3996</v>
      </c>
      <c r="E143">
        <v>503</v>
      </c>
      <c r="F143">
        <v>313</v>
      </c>
      <c r="G143">
        <v>3.6</v>
      </c>
      <c r="H143">
        <v>142000</v>
      </c>
      <c r="I143" t="s">
        <v>18</v>
      </c>
      <c r="J143">
        <v>2</v>
      </c>
      <c r="K143">
        <v>685</v>
      </c>
    </row>
    <row r="144" spans="1:11" hidden="1" x14ac:dyDescent="0.25">
      <c r="A144" t="s">
        <v>701</v>
      </c>
      <c r="B144" t="s">
        <v>752</v>
      </c>
      <c r="C144" t="s">
        <v>737</v>
      </c>
      <c r="D144">
        <v>3996</v>
      </c>
      <c r="E144">
        <v>493</v>
      </c>
      <c r="F144">
        <v>315</v>
      </c>
      <c r="G144">
        <v>3.2</v>
      </c>
      <c r="H144">
        <v>141700</v>
      </c>
      <c r="I144" t="s">
        <v>18</v>
      </c>
      <c r="J144">
        <v>2</v>
      </c>
      <c r="K144">
        <v>450</v>
      </c>
    </row>
    <row r="145" spans="1:11" hidden="1" x14ac:dyDescent="0.25">
      <c r="A145" t="s">
        <v>701</v>
      </c>
      <c r="B145" t="s">
        <v>796</v>
      </c>
      <c r="C145" t="s">
        <v>539</v>
      </c>
      <c r="E145">
        <v>590</v>
      </c>
      <c r="F145">
        <v>250</v>
      </c>
      <c r="G145">
        <v>3.8</v>
      </c>
      <c r="H145">
        <v>139400</v>
      </c>
      <c r="I145" t="s">
        <v>132</v>
      </c>
      <c r="J145">
        <v>4</v>
      </c>
      <c r="K145">
        <v>620</v>
      </c>
    </row>
    <row r="146" spans="1:11" hidden="1" x14ac:dyDescent="0.25">
      <c r="A146" t="s">
        <v>701</v>
      </c>
      <c r="B146" t="s">
        <v>802</v>
      </c>
      <c r="C146" t="s">
        <v>729</v>
      </c>
      <c r="D146">
        <v>2981</v>
      </c>
      <c r="E146">
        <v>473</v>
      </c>
      <c r="F146">
        <v>311</v>
      </c>
      <c r="G146">
        <v>3.3</v>
      </c>
      <c r="H146">
        <v>137000</v>
      </c>
      <c r="I146" t="s">
        <v>18</v>
      </c>
      <c r="J146">
        <v>4</v>
      </c>
      <c r="K146">
        <v>570</v>
      </c>
    </row>
    <row r="147" spans="1:11" hidden="1" x14ac:dyDescent="0.25">
      <c r="A147" t="s">
        <v>701</v>
      </c>
      <c r="B147" t="s">
        <v>766</v>
      </c>
      <c r="C147" t="s">
        <v>767</v>
      </c>
      <c r="D147">
        <v>3996</v>
      </c>
      <c r="E147">
        <v>473</v>
      </c>
      <c r="F147">
        <v>300</v>
      </c>
      <c r="G147">
        <v>3.9</v>
      </c>
      <c r="H147">
        <v>136900</v>
      </c>
      <c r="I147" t="s">
        <v>18</v>
      </c>
      <c r="J147">
        <v>4</v>
      </c>
      <c r="K147">
        <v>620</v>
      </c>
    </row>
    <row r="148" spans="1:11" hidden="1" x14ac:dyDescent="0.25">
      <c r="A148" t="s">
        <v>701</v>
      </c>
      <c r="B148" t="s">
        <v>798</v>
      </c>
      <c r="C148" t="s">
        <v>539</v>
      </c>
      <c r="E148">
        <v>590</v>
      </c>
      <c r="F148">
        <v>250</v>
      </c>
      <c r="G148">
        <v>3.7</v>
      </c>
      <c r="H148">
        <v>136700</v>
      </c>
      <c r="I148" t="s">
        <v>132</v>
      </c>
      <c r="J148">
        <v>4</v>
      </c>
      <c r="K148">
        <v>620</v>
      </c>
    </row>
    <row r="149" spans="1:11" hidden="1" x14ac:dyDescent="0.25">
      <c r="A149" t="s">
        <v>701</v>
      </c>
      <c r="B149" t="s">
        <v>810</v>
      </c>
      <c r="C149" t="s">
        <v>729</v>
      </c>
      <c r="D149">
        <v>2981</v>
      </c>
      <c r="E149">
        <v>379</v>
      </c>
      <c r="F149">
        <v>289</v>
      </c>
      <c r="G149">
        <v>4.3</v>
      </c>
      <c r="H149">
        <v>135500</v>
      </c>
      <c r="I149" t="s">
        <v>18</v>
      </c>
      <c r="J149">
        <v>4</v>
      </c>
      <c r="K149">
        <v>450</v>
      </c>
    </row>
    <row r="150" spans="1:11" x14ac:dyDescent="0.25">
      <c r="A150" t="s">
        <v>27</v>
      </c>
      <c r="B150" t="s">
        <v>135</v>
      </c>
      <c r="C150" t="s">
        <v>136</v>
      </c>
      <c r="D150">
        <v>2993</v>
      </c>
      <c r="E150">
        <v>493</v>
      </c>
      <c r="F150">
        <v>305</v>
      </c>
      <c r="G150">
        <v>3.7</v>
      </c>
      <c r="H150">
        <v>133000</v>
      </c>
      <c r="I150" t="s">
        <v>18</v>
      </c>
      <c r="J150">
        <v>4</v>
      </c>
      <c r="K150">
        <v>600</v>
      </c>
    </row>
    <row r="151" spans="1:11" hidden="1" x14ac:dyDescent="0.25">
      <c r="A151" t="s">
        <v>701</v>
      </c>
      <c r="B151" t="s">
        <v>744</v>
      </c>
      <c r="C151" t="s">
        <v>539</v>
      </c>
      <c r="E151">
        <v>590</v>
      </c>
      <c r="F151">
        <v>250</v>
      </c>
      <c r="G151">
        <v>3.5</v>
      </c>
      <c r="H151">
        <v>132750</v>
      </c>
      <c r="I151" t="s">
        <v>132</v>
      </c>
      <c r="J151">
        <v>4</v>
      </c>
      <c r="K151">
        <v>850</v>
      </c>
    </row>
    <row r="152" spans="1:11" hidden="1" x14ac:dyDescent="0.25">
      <c r="A152" t="s">
        <v>701</v>
      </c>
      <c r="B152" t="s">
        <v>728</v>
      </c>
      <c r="C152" t="s">
        <v>729</v>
      </c>
      <c r="D152">
        <v>2981</v>
      </c>
      <c r="E152">
        <v>443</v>
      </c>
      <c r="F152">
        <v>308</v>
      </c>
      <c r="G152">
        <v>3.5</v>
      </c>
      <c r="H152">
        <v>131300</v>
      </c>
      <c r="I152" t="s">
        <v>18</v>
      </c>
      <c r="J152">
        <v>4</v>
      </c>
      <c r="K152">
        <v>528</v>
      </c>
    </row>
    <row r="153" spans="1:11" hidden="1" x14ac:dyDescent="0.25">
      <c r="A153" t="s">
        <v>701</v>
      </c>
      <c r="B153" t="s">
        <v>719</v>
      </c>
      <c r="C153" t="s">
        <v>707</v>
      </c>
      <c r="D153">
        <v>3996</v>
      </c>
      <c r="F153">
        <v>286</v>
      </c>
      <c r="G153">
        <v>4</v>
      </c>
      <c r="H153">
        <v>130000</v>
      </c>
      <c r="I153" t="s">
        <v>18</v>
      </c>
      <c r="J153">
        <v>5</v>
      </c>
      <c r="K153">
        <v>770</v>
      </c>
    </row>
    <row r="154" spans="1:11" hidden="1" x14ac:dyDescent="0.25">
      <c r="A154" t="s">
        <v>701</v>
      </c>
      <c r="B154" t="s">
        <v>708</v>
      </c>
      <c r="C154" t="s">
        <v>707</v>
      </c>
      <c r="D154">
        <v>3996</v>
      </c>
      <c r="F154">
        <v>300</v>
      </c>
      <c r="G154">
        <v>3.9</v>
      </c>
      <c r="H154">
        <v>130000</v>
      </c>
      <c r="I154" t="s">
        <v>18</v>
      </c>
      <c r="J154">
        <v>4</v>
      </c>
      <c r="K154">
        <v>620</v>
      </c>
    </row>
    <row r="155" spans="1:11" hidden="1" x14ac:dyDescent="0.25">
      <c r="A155" t="s">
        <v>701</v>
      </c>
      <c r="B155" t="s">
        <v>801</v>
      </c>
      <c r="C155" t="s">
        <v>729</v>
      </c>
      <c r="D155">
        <v>2981</v>
      </c>
      <c r="E155">
        <v>443</v>
      </c>
      <c r="F155">
        <v>304</v>
      </c>
      <c r="G155">
        <v>3.9</v>
      </c>
      <c r="H155">
        <v>129900</v>
      </c>
      <c r="I155" t="s">
        <v>18</v>
      </c>
      <c r="J155">
        <v>4</v>
      </c>
      <c r="K155">
        <v>530</v>
      </c>
    </row>
    <row r="156" spans="1:11" hidden="1" x14ac:dyDescent="0.25">
      <c r="A156" t="s">
        <v>701</v>
      </c>
      <c r="B156" t="s">
        <v>765</v>
      </c>
      <c r="C156" t="s">
        <v>761</v>
      </c>
      <c r="D156">
        <v>2894</v>
      </c>
      <c r="E156">
        <v>560</v>
      </c>
      <c r="F156">
        <v>295</v>
      </c>
      <c r="G156">
        <v>3.7</v>
      </c>
      <c r="H156">
        <v>128900</v>
      </c>
      <c r="I156" t="s">
        <v>65</v>
      </c>
      <c r="J156">
        <v>4</v>
      </c>
      <c r="K156">
        <v>750</v>
      </c>
    </row>
    <row r="157" spans="1:11" hidden="1" x14ac:dyDescent="0.25">
      <c r="A157" t="s">
        <v>213</v>
      </c>
      <c r="B157" t="s">
        <v>1171</v>
      </c>
      <c r="C157" t="s">
        <v>1169</v>
      </c>
      <c r="D157">
        <v>12800</v>
      </c>
      <c r="E157">
        <v>500</v>
      </c>
      <c r="F157">
        <v>120</v>
      </c>
      <c r="G157">
        <v>15</v>
      </c>
      <c r="H157">
        <v>125000</v>
      </c>
      <c r="I157" t="s">
        <v>50</v>
      </c>
      <c r="J157">
        <v>2</v>
      </c>
      <c r="K157">
        <v>2400</v>
      </c>
    </row>
    <row r="158" spans="1:11" hidden="1" x14ac:dyDescent="0.25">
      <c r="A158" t="s">
        <v>701</v>
      </c>
      <c r="B158" t="s">
        <v>732</v>
      </c>
      <c r="C158" t="s">
        <v>729</v>
      </c>
      <c r="D158">
        <v>2981</v>
      </c>
      <c r="E158">
        <v>379</v>
      </c>
      <c r="F158">
        <v>289</v>
      </c>
      <c r="G158">
        <v>4.4000000000000004</v>
      </c>
      <c r="H158">
        <v>121300</v>
      </c>
      <c r="I158" t="s">
        <v>18</v>
      </c>
      <c r="J158">
        <v>4</v>
      </c>
      <c r="K158">
        <v>450</v>
      </c>
    </row>
    <row r="159" spans="1:11" hidden="1" x14ac:dyDescent="0.25">
      <c r="A159" t="s">
        <v>701</v>
      </c>
      <c r="B159" t="s">
        <v>712</v>
      </c>
      <c r="C159" t="s">
        <v>711</v>
      </c>
      <c r="F159">
        <v>280</v>
      </c>
      <c r="G159">
        <v>4.4000000000000004</v>
      </c>
      <c r="H159">
        <v>120000</v>
      </c>
      <c r="I159" t="s">
        <v>241</v>
      </c>
      <c r="J159">
        <v>4</v>
      </c>
      <c r="K159">
        <v>700</v>
      </c>
    </row>
    <row r="160" spans="1:11" hidden="1" x14ac:dyDescent="0.25">
      <c r="A160" t="s">
        <v>213</v>
      </c>
      <c r="B160" t="s">
        <v>1164</v>
      </c>
      <c r="C160" t="s">
        <v>1165</v>
      </c>
      <c r="D160">
        <v>13000</v>
      </c>
      <c r="E160">
        <v>540</v>
      </c>
      <c r="F160">
        <v>120</v>
      </c>
      <c r="G160">
        <v>15</v>
      </c>
      <c r="H160">
        <v>120000</v>
      </c>
      <c r="I160" t="s">
        <v>50</v>
      </c>
      <c r="J160">
        <v>2</v>
      </c>
      <c r="K160">
        <v>2600</v>
      </c>
    </row>
    <row r="161" spans="1:11" hidden="1" x14ac:dyDescent="0.25">
      <c r="A161" t="s">
        <v>213</v>
      </c>
      <c r="B161" t="s">
        <v>1173</v>
      </c>
      <c r="C161" t="s">
        <v>1169</v>
      </c>
      <c r="D161">
        <v>12800</v>
      </c>
      <c r="E161">
        <v>500</v>
      </c>
      <c r="F161">
        <v>100</v>
      </c>
      <c r="G161">
        <v>18</v>
      </c>
      <c r="H161">
        <v>120000</v>
      </c>
      <c r="I161" t="s">
        <v>50</v>
      </c>
      <c r="J161">
        <v>2</v>
      </c>
      <c r="K161">
        <v>2500</v>
      </c>
    </row>
    <row r="162" spans="1:11" hidden="1" x14ac:dyDescent="0.25">
      <c r="A162" t="s">
        <v>1178</v>
      </c>
      <c r="B162" t="s">
        <v>1194</v>
      </c>
      <c r="C162" t="s">
        <v>1195</v>
      </c>
      <c r="E162">
        <v>575</v>
      </c>
      <c r="F162">
        <v>320</v>
      </c>
      <c r="G162">
        <v>3.7</v>
      </c>
      <c r="H162">
        <v>120000</v>
      </c>
      <c r="I162" t="s">
        <v>18</v>
      </c>
      <c r="J162">
        <v>2</v>
      </c>
      <c r="K162">
        <v>700</v>
      </c>
    </row>
    <row r="163" spans="1:11" hidden="1" x14ac:dyDescent="0.25">
      <c r="A163" t="s">
        <v>22</v>
      </c>
      <c r="B163" t="s">
        <v>112</v>
      </c>
      <c r="C163" t="s">
        <v>13</v>
      </c>
      <c r="D163">
        <v>3982</v>
      </c>
      <c r="E163">
        <v>496</v>
      </c>
      <c r="F163">
        <v>250</v>
      </c>
      <c r="G163">
        <v>4.4000000000000004</v>
      </c>
      <c r="H163">
        <v>116000</v>
      </c>
      <c r="I163" t="s">
        <v>18</v>
      </c>
      <c r="J163">
        <v>5</v>
      </c>
      <c r="K163">
        <v>700</v>
      </c>
    </row>
    <row r="164" spans="1:11" hidden="1" x14ac:dyDescent="0.25">
      <c r="A164" t="s">
        <v>701</v>
      </c>
      <c r="B164" t="s">
        <v>817</v>
      </c>
      <c r="C164" t="s">
        <v>729</v>
      </c>
      <c r="D164">
        <v>2981</v>
      </c>
      <c r="E164">
        <v>379</v>
      </c>
      <c r="F164">
        <v>293</v>
      </c>
      <c r="G164">
        <v>4.4000000000000004</v>
      </c>
      <c r="H164">
        <v>116000</v>
      </c>
      <c r="I164" t="s">
        <v>18</v>
      </c>
      <c r="J164">
        <v>4</v>
      </c>
      <c r="K164">
        <v>450</v>
      </c>
    </row>
    <row r="165" spans="1:11" hidden="1" x14ac:dyDescent="0.25">
      <c r="A165" t="s">
        <v>701</v>
      </c>
      <c r="B165" t="s">
        <v>710</v>
      </c>
      <c r="C165" t="s">
        <v>711</v>
      </c>
      <c r="F165">
        <v>280</v>
      </c>
      <c r="G165">
        <v>4.4000000000000004</v>
      </c>
      <c r="H165">
        <v>115000</v>
      </c>
      <c r="I165" t="s">
        <v>241</v>
      </c>
      <c r="J165">
        <v>4</v>
      </c>
      <c r="K165">
        <v>700</v>
      </c>
    </row>
    <row r="166" spans="1:11" x14ac:dyDescent="0.25">
      <c r="A166" t="s">
        <v>27</v>
      </c>
      <c r="B166" t="s">
        <v>139</v>
      </c>
      <c r="C166" t="s">
        <v>13</v>
      </c>
      <c r="D166">
        <v>4935</v>
      </c>
      <c r="E166">
        <v>523</v>
      </c>
      <c r="F166">
        <v>285</v>
      </c>
      <c r="G166">
        <v>4.0999999999999996</v>
      </c>
      <c r="H166">
        <v>114000</v>
      </c>
      <c r="I166" t="s">
        <v>18</v>
      </c>
      <c r="J166">
        <v>5</v>
      </c>
      <c r="K166">
        <v>750</v>
      </c>
    </row>
    <row r="167" spans="1:11" hidden="1" x14ac:dyDescent="0.25">
      <c r="A167" t="s">
        <v>24</v>
      </c>
      <c r="B167" t="s">
        <v>159</v>
      </c>
      <c r="C167" t="s">
        <v>13</v>
      </c>
      <c r="D167">
        <v>3993</v>
      </c>
      <c r="E167">
        <v>591</v>
      </c>
      <c r="F167">
        <v>305</v>
      </c>
      <c r="G167">
        <v>3.6</v>
      </c>
      <c r="H167">
        <v>114000</v>
      </c>
      <c r="I167" t="s">
        <v>18</v>
      </c>
      <c r="J167">
        <v>5</v>
      </c>
      <c r="K167">
        <v>800</v>
      </c>
    </row>
    <row r="168" spans="1:11" hidden="1" x14ac:dyDescent="0.25">
      <c r="A168" t="s">
        <v>871</v>
      </c>
      <c r="B168" t="s">
        <v>880</v>
      </c>
      <c r="C168" t="s">
        <v>874</v>
      </c>
      <c r="E168">
        <v>1020</v>
      </c>
      <c r="F168">
        <v>262</v>
      </c>
      <c r="G168">
        <v>2.6</v>
      </c>
      <c r="H168">
        <v>113490</v>
      </c>
      <c r="I168" t="s">
        <v>132</v>
      </c>
      <c r="J168">
        <v>6</v>
      </c>
      <c r="K168">
        <v>1400</v>
      </c>
    </row>
    <row r="169" spans="1:11" hidden="1" x14ac:dyDescent="0.25">
      <c r="A169" t="s">
        <v>701</v>
      </c>
      <c r="B169" t="s">
        <v>731</v>
      </c>
      <c r="C169" t="s">
        <v>729</v>
      </c>
      <c r="D169">
        <v>2981</v>
      </c>
      <c r="E169">
        <v>443</v>
      </c>
      <c r="F169">
        <v>306</v>
      </c>
      <c r="G169">
        <v>3.4</v>
      </c>
      <c r="H169">
        <v>113300</v>
      </c>
      <c r="I169" t="s">
        <v>18</v>
      </c>
      <c r="J169">
        <v>4</v>
      </c>
      <c r="K169">
        <v>528</v>
      </c>
    </row>
    <row r="170" spans="1:11" hidden="1" x14ac:dyDescent="0.25">
      <c r="A170" t="s">
        <v>701</v>
      </c>
      <c r="B170" t="s">
        <v>760</v>
      </c>
      <c r="C170" t="s">
        <v>761</v>
      </c>
      <c r="D170">
        <v>2894</v>
      </c>
      <c r="E170">
        <v>462</v>
      </c>
      <c r="F170">
        <v>280</v>
      </c>
      <c r="G170">
        <v>4.4000000000000004</v>
      </c>
      <c r="H170">
        <v>113300</v>
      </c>
      <c r="I170" t="s">
        <v>65</v>
      </c>
      <c r="J170">
        <v>4</v>
      </c>
      <c r="K170">
        <v>700</v>
      </c>
    </row>
    <row r="171" spans="1:11" hidden="1" x14ac:dyDescent="0.25">
      <c r="A171" t="s">
        <v>22</v>
      </c>
      <c r="B171" t="s">
        <v>115</v>
      </c>
      <c r="C171" t="s">
        <v>13</v>
      </c>
      <c r="D171">
        <v>3982</v>
      </c>
      <c r="E171">
        <v>603</v>
      </c>
      <c r="F171">
        <v>250</v>
      </c>
      <c r="G171">
        <v>4.2</v>
      </c>
      <c r="H171">
        <v>113000</v>
      </c>
      <c r="I171" t="s">
        <v>18</v>
      </c>
      <c r="J171">
        <v>5</v>
      </c>
      <c r="K171">
        <v>850</v>
      </c>
    </row>
    <row r="172" spans="1:11" hidden="1" x14ac:dyDescent="0.25">
      <c r="A172" t="s">
        <v>52</v>
      </c>
      <c r="B172" t="s">
        <v>53</v>
      </c>
      <c r="C172" t="s">
        <v>54</v>
      </c>
      <c r="D172">
        <v>3799</v>
      </c>
      <c r="E172">
        <v>600</v>
      </c>
      <c r="F172">
        <v>315</v>
      </c>
      <c r="G172">
        <v>2.9</v>
      </c>
      <c r="H172">
        <v>113000</v>
      </c>
      <c r="I172" t="s">
        <v>18</v>
      </c>
      <c r="J172">
        <v>4</v>
      </c>
      <c r="K172">
        <v>637</v>
      </c>
    </row>
    <row r="173" spans="1:11" hidden="1" x14ac:dyDescent="0.25">
      <c r="A173" t="s">
        <v>1007</v>
      </c>
      <c r="B173" t="s">
        <v>1073</v>
      </c>
      <c r="C173" t="s">
        <v>1054</v>
      </c>
      <c r="F173">
        <v>170</v>
      </c>
      <c r="G173">
        <v>3</v>
      </c>
      <c r="H173">
        <v>112700</v>
      </c>
      <c r="I173" t="s">
        <v>132</v>
      </c>
      <c r="J173">
        <v>5</v>
      </c>
      <c r="K173">
        <v>15590</v>
      </c>
    </row>
    <row r="174" spans="1:11" hidden="1" x14ac:dyDescent="0.25">
      <c r="A174" t="s">
        <v>701</v>
      </c>
      <c r="B174" t="s">
        <v>781</v>
      </c>
      <c r="C174" t="s">
        <v>767</v>
      </c>
      <c r="D174">
        <v>3996</v>
      </c>
      <c r="E174">
        <v>453</v>
      </c>
      <c r="F174">
        <v>270</v>
      </c>
      <c r="G174">
        <v>4.5</v>
      </c>
      <c r="H174">
        <v>111200</v>
      </c>
      <c r="I174" t="s">
        <v>18</v>
      </c>
      <c r="J174">
        <v>4</v>
      </c>
      <c r="K174">
        <v>620</v>
      </c>
    </row>
    <row r="175" spans="1:11" hidden="1" x14ac:dyDescent="0.25">
      <c r="A175" t="s">
        <v>701</v>
      </c>
      <c r="B175" t="s">
        <v>720</v>
      </c>
      <c r="C175" t="s">
        <v>707</v>
      </c>
      <c r="D175">
        <v>3996</v>
      </c>
      <c r="F175">
        <v>270</v>
      </c>
      <c r="G175">
        <v>4.5</v>
      </c>
      <c r="H175">
        <v>110000</v>
      </c>
      <c r="I175" t="s">
        <v>18</v>
      </c>
      <c r="J175">
        <v>5</v>
      </c>
      <c r="K175">
        <v>620</v>
      </c>
    </row>
    <row r="176" spans="1:11" hidden="1" x14ac:dyDescent="0.25">
      <c r="A176" t="s">
        <v>1007</v>
      </c>
      <c r="B176" t="s">
        <v>1070</v>
      </c>
      <c r="C176" t="s">
        <v>1054</v>
      </c>
      <c r="F176">
        <v>170</v>
      </c>
      <c r="G176">
        <v>3.6</v>
      </c>
      <c r="H176">
        <v>110000</v>
      </c>
      <c r="I176" t="s">
        <v>132</v>
      </c>
      <c r="J176">
        <v>5</v>
      </c>
      <c r="K176">
        <v>15590</v>
      </c>
    </row>
    <row r="177" spans="1:11" hidden="1" x14ac:dyDescent="0.25">
      <c r="A177" t="s">
        <v>701</v>
      </c>
      <c r="B177" t="s">
        <v>726</v>
      </c>
      <c r="C177" t="s">
        <v>727</v>
      </c>
      <c r="D177">
        <v>2981</v>
      </c>
      <c r="F177">
        <v>293</v>
      </c>
      <c r="G177">
        <v>4.2</v>
      </c>
      <c r="H177">
        <v>110000</v>
      </c>
      <c r="I177" t="s">
        <v>18</v>
      </c>
      <c r="J177">
        <v>4</v>
      </c>
      <c r="K177">
        <v>450</v>
      </c>
    </row>
    <row r="178" spans="1:11" hidden="1" x14ac:dyDescent="0.25">
      <c r="A178" t="s">
        <v>213</v>
      </c>
      <c r="B178" t="s">
        <v>1170</v>
      </c>
      <c r="C178" t="s">
        <v>1165</v>
      </c>
      <c r="D178">
        <v>13000</v>
      </c>
      <c r="E178">
        <v>500</v>
      </c>
      <c r="F178">
        <v>110</v>
      </c>
      <c r="G178">
        <v>16.5</v>
      </c>
      <c r="H178">
        <v>110000</v>
      </c>
      <c r="I178" t="s">
        <v>50</v>
      </c>
      <c r="J178">
        <v>2</v>
      </c>
      <c r="K178">
        <v>2500</v>
      </c>
    </row>
    <row r="179" spans="1:11" hidden="1" x14ac:dyDescent="0.25">
      <c r="A179" t="s">
        <v>1178</v>
      </c>
      <c r="B179" t="s">
        <v>1201</v>
      </c>
      <c r="C179" t="s">
        <v>1195</v>
      </c>
      <c r="E179">
        <v>550</v>
      </c>
      <c r="F179">
        <v>300</v>
      </c>
      <c r="G179">
        <v>3.9</v>
      </c>
      <c r="H179">
        <v>110000</v>
      </c>
      <c r="I179" t="s">
        <v>18</v>
      </c>
      <c r="J179">
        <v>2</v>
      </c>
      <c r="K179">
        <v>680</v>
      </c>
    </row>
    <row r="180" spans="1:11" hidden="1" x14ac:dyDescent="0.25">
      <c r="A180" t="s">
        <v>24</v>
      </c>
      <c r="B180" t="s">
        <v>161</v>
      </c>
      <c r="C180" t="s">
        <v>13</v>
      </c>
      <c r="D180">
        <v>3993</v>
      </c>
      <c r="E180">
        <v>591</v>
      </c>
      <c r="F180">
        <v>305</v>
      </c>
      <c r="G180">
        <v>3.6</v>
      </c>
      <c r="H180">
        <v>109000</v>
      </c>
      <c r="I180" t="s">
        <v>18</v>
      </c>
      <c r="J180">
        <v>5</v>
      </c>
      <c r="K180">
        <v>800</v>
      </c>
    </row>
    <row r="181" spans="1:11" hidden="1" x14ac:dyDescent="0.25">
      <c r="A181" t="s">
        <v>22</v>
      </c>
      <c r="B181" t="s">
        <v>116</v>
      </c>
      <c r="C181" t="s">
        <v>54</v>
      </c>
      <c r="D181">
        <v>2996</v>
      </c>
      <c r="E181">
        <v>429</v>
      </c>
      <c r="F181">
        <v>250</v>
      </c>
      <c r="G181">
        <v>4.9000000000000004</v>
      </c>
      <c r="H181">
        <v>109000</v>
      </c>
      <c r="I181" t="s">
        <v>18</v>
      </c>
      <c r="J181">
        <v>5</v>
      </c>
      <c r="K181">
        <v>700</v>
      </c>
    </row>
    <row r="182" spans="1:11" hidden="1" x14ac:dyDescent="0.25">
      <c r="A182" t="s">
        <v>1007</v>
      </c>
      <c r="B182" t="s">
        <v>1019</v>
      </c>
      <c r="C182" t="s">
        <v>1020</v>
      </c>
      <c r="E182">
        <v>625</v>
      </c>
      <c r="F182">
        <v>170</v>
      </c>
      <c r="G182">
        <v>3</v>
      </c>
      <c r="H182">
        <v>108700</v>
      </c>
      <c r="I182" t="s">
        <v>132</v>
      </c>
      <c r="J182">
        <v>5</v>
      </c>
      <c r="K182">
        <v>1000</v>
      </c>
    </row>
    <row r="183" spans="1:11" hidden="1" x14ac:dyDescent="0.25">
      <c r="A183" t="s">
        <v>1007</v>
      </c>
      <c r="B183" t="s">
        <v>1071</v>
      </c>
      <c r="C183" t="s">
        <v>1072</v>
      </c>
      <c r="F183">
        <v>170</v>
      </c>
      <c r="G183">
        <v>4.5</v>
      </c>
      <c r="H183">
        <v>108700</v>
      </c>
      <c r="I183" t="s">
        <v>132</v>
      </c>
      <c r="J183">
        <v>5</v>
      </c>
      <c r="K183">
        <v>1064</v>
      </c>
    </row>
    <row r="184" spans="1:11" hidden="1" x14ac:dyDescent="0.25">
      <c r="A184" t="s">
        <v>871</v>
      </c>
      <c r="B184" t="s">
        <v>873</v>
      </c>
      <c r="C184" t="s">
        <v>874</v>
      </c>
      <c r="E184">
        <v>1020</v>
      </c>
      <c r="F184">
        <v>322</v>
      </c>
      <c r="G184">
        <v>2.1</v>
      </c>
      <c r="H184">
        <v>108490</v>
      </c>
      <c r="I184" t="s">
        <v>132</v>
      </c>
      <c r="J184">
        <v>5</v>
      </c>
      <c r="K184">
        <v>1400</v>
      </c>
    </row>
    <row r="185" spans="1:11" x14ac:dyDescent="0.25">
      <c r="A185" t="s">
        <v>27</v>
      </c>
      <c r="B185" t="s">
        <v>142</v>
      </c>
      <c r="C185" t="s">
        <v>13</v>
      </c>
      <c r="D185">
        <v>4935</v>
      </c>
      <c r="E185">
        <v>523</v>
      </c>
      <c r="F185">
        <v>285</v>
      </c>
      <c r="G185">
        <v>3.7</v>
      </c>
      <c r="H185">
        <v>108000</v>
      </c>
      <c r="I185" t="s">
        <v>18</v>
      </c>
      <c r="J185">
        <v>4</v>
      </c>
      <c r="K185">
        <v>750</v>
      </c>
    </row>
    <row r="186" spans="1:11" hidden="1" x14ac:dyDescent="0.25">
      <c r="A186" t="s">
        <v>701</v>
      </c>
      <c r="B186" t="s">
        <v>730</v>
      </c>
      <c r="C186" t="s">
        <v>729</v>
      </c>
      <c r="D186">
        <v>2981</v>
      </c>
      <c r="E186">
        <v>379</v>
      </c>
      <c r="F186">
        <v>293</v>
      </c>
      <c r="G186">
        <v>4.2</v>
      </c>
      <c r="H186">
        <v>106500</v>
      </c>
      <c r="I186" t="s">
        <v>18</v>
      </c>
      <c r="J186">
        <v>4</v>
      </c>
      <c r="K186">
        <v>450</v>
      </c>
    </row>
    <row r="187" spans="1:11" hidden="1" x14ac:dyDescent="0.25">
      <c r="A187" t="s">
        <v>701</v>
      </c>
      <c r="B187" t="s">
        <v>800</v>
      </c>
      <c r="C187" t="s">
        <v>729</v>
      </c>
      <c r="D187">
        <v>2981</v>
      </c>
      <c r="E187">
        <v>379</v>
      </c>
      <c r="F187">
        <v>293</v>
      </c>
      <c r="G187">
        <v>4.2</v>
      </c>
      <c r="H187">
        <v>106100</v>
      </c>
      <c r="I187" t="s">
        <v>18</v>
      </c>
      <c r="J187">
        <v>4</v>
      </c>
      <c r="K187">
        <v>450</v>
      </c>
    </row>
    <row r="188" spans="1:11" hidden="1" x14ac:dyDescent="0.25">
      <c r="A188" t="s">
        <v>1007</v>
      </c>
      <c r="B188" t="s">
        <v>1021</v>
      </c>
      <c r="C188" t="s">
        <v>1020</v>
      </c>
      <c r="E188">
        <v>625</v>
      </c>
      <c r="F188">
        <v>170</v>
      </c>
      <c r="G188">
        <v>3.5</v>
      </c>
      <c r="H188">
        <v>105600</v>
      </c>
      <c r="I188" t="s">
        <v>132</v>
      </c>
      <c r="J188">
        <v>5</v>
      </c>
      <c r="K188">
        <v>1000</v>
      </c>
    </row>
    <row r="189" spans="1:11" hidden="1" x14ac:dyDescent="0.25">
      <c r="A189" t="s">
        <v>52</v>
      </c>
      <c r="B189" t="s">
        <v>559</v>
      </c>
      <c r="C189" t="s">
        <v>509</v>
      </c>
      <c r="D189">
        <v>5552</v>
      </c>
      <c r="F189">
        <v>210</v>
      </c>
      <c r="G189">
        <v>6.5</v>
      </c>
      <c r="H189">
        <v>105000</v>
      </c>
      <c r="I189" t="s">
        <v>18</v>
      </c>
      <c r="J189">
        <v>7</v>
      </c>
      <c r="K189">
        <v>560</v>
      </c>
    </row>
    <row r="190" spans="1:11" hidden="1" x14ac:dyDescent="0.25">
      <c r="A190" t="s">
        <v>1007</v>
      </c>
      <c r="B190" t="s">
        <v>1080</v>
      </c>
      <c r="C190" t="s">
        <v>1054</v>
      </c>
      <c r="F190">
        <v>170</v>
      </c>
      <c r="G190">
        <v>3.6</v>
      </c>
      <c r="H190">
        <v>105000</v>
      </c>
      <c r="I190" t="s">
        <v>132</v>
      </c>
      <c r="J190">
        <v>5</v>
      </c>
      <c r="K190">
        <v>15590</v>
      </c>
    </row>
    <row r="191" spans="1:11" hidden="1" x14ac:dyDescent="0.25">
      <c r="A191" t="s">
        <v>701</v>
      </c>
      <c r="B191" t="s">
        <v>705</v>
      </c>
      <c r="C191" t="s">
        <v>703</v>
      </c>
      <c r="D191">
        <v>2894</v>
      </c>
      <c r="F191">
        <v>289</v>
      </c>
      <c r="G191">
        <v>4.4000000000000004</v>
      </c>
      <c r="H191">
        <v>105000</v>
      </c>
      <c r="I191" t="s">
        <v>18</v>
      </c>
      <c r="J191">
        <v>4</v>
      </c>
      <c r="K191">
        <v>550</v>
      </c>
    </row>
    <row r="192" spans="1:11" hidden="1" x14ac:dyDescent="0.25">
      <c r="A192" t="s">
        <v>701</v>
      </c>
      <c r="B192" t="s">
        <v>770</v>
      </c>
      <c r="C192" t="s">
        <v>759</v>
      </c>
      <c r="D192">
        <v>2894</v>
      </c>
      <c r="E192">
        <v>443</v>
      </c>
      <c r="F192">
        <v>289</v>
      </c>
      <c r="G192">
        <v>4.0999999999999996</v>
      </c>
      <c r="H192">
        <v>105000</v>
      </c>
      <c r="I192" t="s">
        <v>18</v>
      </c>
      <c r="J192">
        <v>4</v>
      </c>
      <c r="K192">
        <v>550</v>
      </c>
    </row>
    <row r="193" spans="1:11" hidden="1" x14ac:dyDescent="0.25">
      <c r="A193" t="s">
        <v>787</v>
      </c>
      <c r="B193" t="s">
        <v>929</v>
      </c>
      <c r="C193" t="s">
        <v>846</v>
      </c>
      <c r="D193">
        <v>6200</v>
      </c>
      <c r="E193">
        <v>420</v>
      </c>
      <c r="F193">
        <v>210</v>
      </c>
      <c r="G193">
        <v>6.8</v>
      </c>
      <c r="H193">
        <v>104595</v>
      </c>
      <c r="I193" t="s">
        <v>18</v>
      </c>
      <c r="J193">
        <v>7</v>
      </c>
      <c r="K193">
        <v>624</v>
      </c>
    </row>
    <row r="194" spans="1:11" hidden="1" x14ac:dyDescent="0.25">
      <c r="A194" t="s">
        <v>22</v>
      </c>
      <c r="B194" t="s">
        <v>113</v>
      </c>
      <c r="C194" t="s">
        <v>13</v>
      </c>
      <c r="D194">
        <v>3982</v>
      </c>
      <c r="E194">
        <v>603</v>
      </c>
      <c r="F194">
        <v>250</v>
      </c>
      <c r="G194">
        <v>3.4</v>
      </c>
      <c r="H194">
        <v>104000</v>
      </c>
      <c r="I194" t="s">
        <v>18</v>
      </c>
      <c r="J194">
        <v>5</v>
      </c>
      <c r="K194">
        <v>850</v>
      </c>
    </row>
    <row r="195" spans="1:11" hidden="1" x14ac:dyDescent="0.25">
      <c r="A195" t="s">
        <v>701</v>
      </c>
      <c r="B195" t="s">
        <v>746</v>
      </c>
      <c r="C195" t="s">
        <v>539</v>
      </c>
      <c r="E195">
        <v>509</v>
      </c>
      <c r="F195">
        <v>240</v>
      </c>
      <c r="G195">
        <v>4.0999999999999996</v>
      </c>
      <c r="H195">
        <v>104000</v>
      </c>
      <c r="I195" t="s">
        <v>132</v>
      </c>
      <c r="J195">
        <v>5</v>
      </c>
      <c r="K195">
        <v>650</v>
      </c>
    </row>
    <row r="196" spans="1:11" hidden="1" x14ac:dyDescent="0.25">
      <c r="A196" t="s">
        <v>701</v>
      </c>
      <c r="B196" t="s">
        <v>741</v>
      </c>
      <c r="C196" t="s">
        <v>539</v>
      </c>
      <c r="E196">
        <v>522</v>
      </c>
      <c r="F196">
        <v>250</v>
      </c>
      <c r="G196">
        <v>4</v>
      </c>
      <c r="H196">
        <v>103800</v>
      </c>
      <c r="I196" t="s">
        <v>132</v>
      </c>
      <c r="J196">
        <v>4</v>
      </c>
      <c r="K196">
        <v>640</v>
      </c>
    </row>
    <row r="197" spans="1:11" hidden="1" x14ac:dyDescent="0.25">
      <c r="A197" t="s">
        <v>22</v>
      </c>
      <c r="B197" t="s">
        <v>130</v>
      </c>
      <c r="C197" t="s">
        <v>131</v>
      </c>
      <c r="E197">
        <v>751</v>
      </c>
      <c r="F197">
        <v>250</v>
      </c>
      <c r="G197">
        <v>3.4</v>
      </c>
      <c r="H197">
        <v>102000</v>
      </c>
      <c r="I197" t="s">
        <v>132</v>
      </c>
      <c r="J197">
        <v>5</v>
      </c>
      <c r="K197">
        <v>950</v>
      </c>
    </row>
    <row r="198" spans="1:11" hidden="1" x14ac:dyDescent="0.25">
      <c r="A198" t="s">
        <v>701</v>
      </c>
      <c r="B198" t="s">
        <v>709</v>
      </c>
      <c r="C198" t="s">
        <v>703</v>
      </c>
      <c r="D198">
        <v>2894</v>
      </c>
      <c r="F198">
        <v>270</v>
      </c>
      <c r="G198">
        <v>5.4</v>
      </c>
      <c r="H198">
        <v>102000</v>
      </c>
      <c r="I198" t="s">
        <v>18</v>
      </c>
      <c r="J198">
        <v>4</v>
      </c>
      <c r="K198">
        <v>450</v>
      </c>
    </row>
    <row r="199" spans="1:11" hidden="1" x14ac:dyDescent="0.25">
      <c r="A199" t="s">
        <v>701</v>
      </c>
      <c r="B199" t="s">
        <v>762</v>
      </c>
      <c r="C199" t="s">
        <v>759</v>
      </c>
      <c r="D199">
        <v>2894</v>
      </c>
      <c r="E199">
        <v>325</v>
      </c>
      <c r="F199">
        <v>265</v>
      </c>
      <c r="G199">
        <v>5.5</v>
      </c>
      <c r="H199">
        <v>101400</v>
      </c>
      <c r="I199" t="s">
        <v>18</v>
      </c>
      <c r="J199">
        <v>4</v>
      </c>
      <c r="K199">
        <v>450</v>
      </c>
    </row>
    <row r="200" spans="1:11" hidden="1" x14ac:dyDescent="0.25">
      <c r="A200" t="s">
        <v>24</v>
      </c>
      <c r="B200" t="s">
        <v>160</v>
      </c>
      <c r="C200" t="s">
        <v>13</v>
      </c>
      <c r="D200">
        <v>3993</v>
      </c>
      <c r="E200">
        <v>563</v>
      </c>
      <c r="F200">
        <v>305</v>
      </c>
      <c r="G200">
        <v>4.3</v>
      </c>
      <c r="H200">
        <v>101000</v>
      </c>
      <c r="I200" t="s">
        <v>18</v>
      </c>
      <c r="J200">
        <v>5</v>
      </c>
      <c r="K200">
        <v>800</v>
      </c>
    </row>
    <row r="201" spans="1:11" hidden="1" x14ac:dyDescent="0.25">
      <c r="A201" t="s">
        <v>701</v>
      </c>
      <c r="B201" t="s">
        <v>751</v>
      </c>
      <c r="C201" t="s">
        <v>737</v>
      </c>
      <c r="D201">
        <v>3995</v>
      </c>
      <c r="E201">
        <v>414</v>
      </c>
      <c r="F201">
        <v>302</v>
      </c>
      <c r="G201">
        <v>4.2</v>
      </c>
      <c r="H201">
        <v>100200</v>
      </c>
      <c r="I201" t="s">
        <v>18</v>
      </c>
      <c r="J201">
        <v>2</v>
      </c>
      <c r="K201">
        <v>420</v>
      </c>
    </row>
    <row r="202" spans="1:11" hidden="1" x14ac:dyDescent="0.25">
      <c r="A202" t="s">
        <v>213</v>
      </c>
      <c r="B202" t="s">
        <v>1168</v>
      </c>
      <c r="C202" t="s">
        <v>1169</v>
      </c>
      <c r="D202">
        <v>12800</v>
      </c>
      <c r="E202">
        <v>460</v>
      </c>
      <c r="F202">
        <v>110</v>
      </c>
      <c r="G202">
        <v>16</v>
      </c>
      <c r="H202">
        <v>100000</v>
      </c>
      <c r="I202" t="s">
        <v>50</v>
      </c>
      <c r="J202">
        <v>2</v>
      </c>
      <c r="K202">
        <v>2200</v>
      </c>
    </row>
    <row r="203" spans="1:11" hidden="1" x14ac:dyDescent="0.25">
      <c r="A203" t="s">
        <v>1178</v>
      </c>
      <c r="B203" t="s">
        <v>1204</v>
      </c>
      <c r="C203" t="s">
        <v>1195</v>
      </c>
      <c r="E203">
        <v>550</v>
      </c>
      <c r="F203">
        <v>300</v>
      </c>
      <c r="G203">
        <v>3.9</v>
      </c>
      <c r="H203">
        <v>100000</v>
      </c>
      <c r="I203" t="s">
        <v>18</v>
      </c>
      <c r="J203">
        <v>2</v>
      </c>
      <c r="K203">
        <v>680</v>
      </c>
    </row>
    <row r="204" spans="1:11" hidden="1" x14ac:dyDescent="0.25">
      <c r="A204" t="s">
        <v>1178</v>
      </c>
      <c r="B204" t="s">
        <v>1212</v>
      </c>
      <c r="C204" t="s">
        <v>1195</v>
      </c>
      <c r="E204">
        <v>550</v>
      </c>
      <c r="F204">
        <v>300</v>
      </c>
      <c r="G204">
        <v>3.9</v>
      </c>
      <c r="H204">
        <v>100000</v>
      </c>
      <c r="I204" t="s">
        <v>18</v>
      </c>
      <c r="J204">
        <v>2</v>
      </c>
      <c r="K204">
        <v>680</v>
      </c>
    </row>
    <row r="205" spans="1:11" hidden="1" x14ac:dyDescent="0.25">
      <c r="A205" t="s">
        <v>1178</v>
      </c>
      <c r="B205" t="s">
        <v>1218</v>
      </c>
      <c r="C205" t="s">
        <v>1195</v>
      </c>
      <c r="E205">
        <v>550</v>
      </c>
      <c r="F205">
        <v>300</v>
      </c>
      <c r="G205">
        <v>3.9</v>
      </c>
      <c r="H205">
        <v>100000</v>
      </c>
      <c r="I205" t="s">
        <v>18</v>
      </c>
      <c r="J205">
        <v>2</v>
      </c>
      <c r="K205">
        <v>680</v>
      </c>
    </row>
    <row r="206" spans="1:11" hidden="1" x14ac:dyDescent="0.25">
      <c r="A206" t="s">
        <v>22</v>
      </c>
      <c r="B206" t="s">
        <v>119</v>
      </c>
      <c r="C206" t="s">
        <v>54</v>
      </c>
      <c r="D206">
        <v>2996</v>
      </c>
      <c r="E206">
        <v>429</v>
      </c>
      <c r="F206">
        <v>250</v>
      </c>
      <c r="G206">
        <v>4.5</v>
      </c>
      <c r="H206">
        <v>99000</v>
      </c>
      <c r="I206" t="s">
        <v>18</v>
      </c>
      <c r="J206">
        <v>5</v>
      </c>
      <c r="K206">
        <v>700</v>
      </c>
    </row>
    <row r="207" spans="1:11" hidden="1" x14ac:dyDescent="0.25">
      <c r="A207" t="s">
        <v>871</v>
      </c>
      <c r="B207" t="s">
        <v>879</v>
      </c>
      <c r="C207" t="s">
        <v>878</v>
      </c>
      <c r="E207">
        <v>670</v>
      </c>
      <c r="F207">
        <v>250</v>
      </c>
      <c r="G207">
        <v>3.8</v>
      </c>
      <c r="H207">
        <v>98490</v>
      </c>
      <c r="I207" t="s">
        <v>132</v>
      </c>
      <c r="J207">
        <v>7</v>
      </c>
      <c r="K207">
        <v>967</v>
      </c>
    </row>
    <row r="208" spans="1:11" hidden="1" x14ac:dyDescent="0.25">
      <c r="A208" t="s">
        <v>701</v>
      </c>
      <c r="B208" t="s">
        <v>757</v>
      </c>
      <c r="C208" t="s">
        <v>737</v>
      </c>
      <c r="D208">
        <v>3995</v>
      </c>
      <c r="E208">
        <v>414</v>
      </c>
      <c r="F208">
        <v>301</v>
      </c>
      <c r="G208">
        <v>4.0999999999999996</v>
      </c>
      <c r="H208">
        <v>98300</v>
      </c>
      <c r="I208" t="s">
        <v>18</v>
      </c>
      <c r="J208">
        <v>2</v>
      </c>
      <c r="K208">
        <v>420</v>
      </c>
    </row>
    <row r="209" spans="1:11" hidden="1" x14ac:dyDescent="0.25">
      <c r="A209" t="s">
        <v>52</v>
      </c>
      <c r="B209" t="s">
        <v>581</v>
      </c>
      <c r="C209" t="s">
        <v>509</v>
      </c>
      <c r="D209">
        <v>5552</v>
      </c>
      <c r="F209">
        <v>210</v>
      </c>
      <c r="G209">
        <v>6.5</v>
      </c>
      <c r="H209">
        <v>98000</v>
      </c>
      <c r="I209" t="s">
        <v>18</v>
      </c>
      <c r="J209">
        <v>7</v>
      </c>
      <c r="K209">
        <v>560</v>
      </c>
    </row>
    <row r="210" spans="1:11" hidden="1" x14ac:dyDescent="0.25">
      <c r="A210" t="s">
        <v>701</v>
      </c>
      <c r="B210" t="s">
        <v>745</v>
      </c>
      <c r="C210" t="s">
        <v>539</v>
      </c>
      <c r="E210">
        <v>469</v>
      </c>
      <c r="F210">
        <v>220</v>
      </c>
      <c r="G210">
        <v>4.8</v>
      </c>
      <c r="H210">
        <v>97700</v>
      </c>
      <c r="I210" t="s">
        <v>132</v>
      </c>
      <c r="J210">
        <v>5</v>
      </c>
      <c r="K210">
        <v>500</v>
      </c>
    </row>
    <row r="211" spans="1:11" hidden="1" x14ac:dyDescent="0.25">
      <c r="A211" t="s">
        <v>1007</v>
      </c>
      <c r="B211" t="s">
        <v>1053</v>
      </c>
      <c r="C211" t="s">
        <v>1054</v>
      </c>
      <c r="F211">
        <v>170</v>
      </c>
      <c r="G211">
        <v>3.5</v>
      </c>
      <c r="H211">
        <v>96550</v>
      </c>
      <c r="I211" t="s">
        <v>132</v>
      </c>
      <c r="J211">
        <v>5</v>
      </c>
      <c r="K211">
        <v>15590</v>
      </c>
    </row>
    <row r="212" spans="1:11" hidden="1" x14ac:dyDescent="0.25">
      <c r="A212" t="s">
        <v>1007</v>
      </c>
      <c r="B212" t="s">
        <v>1055</v>
      </c>
      <c r="C212" t="s">
        <v>1054</v>
      </c>
      <c r="F212">
        <v>170</v>
      </c>
      <c r="G212">
        <v>3</v>
      </c>
      <c r="H212">
        <v>96550</v>
      </c>
      <c r="I212" t="s">
        <v>132</v>
      </c>
      <c r="J212">
        <v>5</v>
      </c>
      <c r="K212">
        <v>15590</v>
      </c>
    </row>
    <row r="213" spans="1:11" hidden="1" x14ac:dyDescent="0.25">
      <c r="A213" t="s">
        <v>24</v>
      </c>
      <c r="B213" t="s">
        <v>162</v>
      </c>
      <c r="C213" t="s">
        <v>13</v>
      </c>
      <c r="D213">
        <v>3993</v>
      </c>
      <c r="E213">
        <v>563</v>
      </c>
      <c r="F213">
        <v>305</v>
      </c>
      <c r="G213">
        <v>4.3</v>
      </c>
      <c r="H213">
        <v>96000</v>
      </c>
      <c r="I213" t="s">
        <v>18</v>
      </c>
      <c r="J213">
        <v>5</v>
      </c>
      <c r="K213">
        <v>650</v>
      </c>
    </row>
    <row r="214" spans="1:11" hidden="1" x14ac:dyDescent="0.25">
      <c r="A214" t="s">
        <v>52</v>
      </c>
      <c r="B214" t="s">
        <v>594</v>
      </c>
      <c r="C214" t="s">
        <v>509</v>
      </c>
      <c r="D214">
        <v>5552</v>
      </c>
      <c r="F214">
        <v>210</v>
      </c>
      <c r="G214">
        <v>6.5</v>
      </c>
      <c r="H214">
        <v>95000</v>
      </c>
      <c r="I214" t="s">
        <v>18</v>
      </c>
      <c r="J214">
        <v>7</v>
      </c>
      <c r="K214">
        <v>560</v>
      </c>
    </row>
    <row r="215" spans="1:11" hidden="1" x14ac:dyDescent="0.25">
      <c r="A215" t="s">
        <v>52</v>
      </c>
      <c r="B215" t="s">
        <v>650</v>
      </c>
      <c r="C215" t="s">
        <v>509</v>
      </c>
      <c r="D215">
        <v>5552</v>
      </c>
      <c r="F215">
        <v>205</v>
      </c>
      <c r="G215">
        <v>6.3</v>
      </c>
      <c r="H215">
        <v>95000</v>
      </c>
      <c r="I215" t="s">
        <v>18</v>
      </c>
      <c r="J215">
        <v>7</v>
      </c>
      <c r="K215">
        <v>580</v>
      </c>
    </row>
    <row r="216" spans="1:11" hidden="1" x14ac:dyDescent="0.25">
      <c r="A216" t="s">
        <v>52</v>
      </c>
      <c r="B216" t="s">
        <v>661</v>
      </c>
      <c r="C216" t="s">
        <v>509</v>
      </c>
      <c r="D216">
        <v>5552</v>
      </c>
      <c r="F216">
        <v>205</v>
      </c>
      <c r="G216">
        <v>6.3</v>
      </c>
      <c r="H216">
        <v>95000</v>
      </c>
      <c r="I216" t="s">
        <v>18</v>
      </c>
      <c r="J216">
        <v>7</v>
      </c>
      <c r="K216">
        <v>580</v>
      </c>
    </row>
    <row r="217" spans="1:11" hidden="1" x14ac:dyDescent="0.25">
      <c r="A217" t="s">
        <v>701</v>
      </c>
      <c r="B217" t="s">
        <v>718</v>
      </c>
      <c r="C217" t="s">
        <v>703</v>
      </c>
      <c r="D217">
        <v>2894</v>
      </c>
      <c r="F217">
        <v>265</v>
      </c>
      <c r="G217">
        <v>5</v>
      </c>
      <c r="H217">
        <v>95000</v>
      </c>
      <c r="I217" t="s">
        <v>18</v>
      </c>
      <c r="J217">
        <v>5</v>
      </c>
      <c r="K217">
        <v>550</v>
      </c>
    </row>
    <row r="218" spans="1:11" hidden="1" x14ac:dyDescent="0.25">
      <c r="A218" t="s">
        <v>701</v>
      </c>
      <c r="B218" t="s">
        <v>715</v>
      </c>
      <c r="C218" t="s">
        <v>703</v>
      </c>
      <c r="D218">
        <v>2894</v>
      </c>
      <c r="F218">
        <v>270</v>
      </c>
      <c r="G218">
        <v>5.6</v>
      </c>
      <c r="H218">
        <v>95000</v>
      </c>
      <c r="I218" t="s">
        <v>18</v>
      </c>
      <c r="J218">
        <v>4</v>
      </c>
      <c r="K218">
        <v>450</v>
      </c>
    </row>
    <row r="219" spans="1:11" hidden="1" x14ac:dyDescent="0.25">
      <c r="A219" t="s">
        <v>213</v>
      </c>
      <c r="B219" t="s">
        <v>1172</v>
      </c>
      <c r="C219" t="s">
        <v>1169</v>
      </c>
      <c r="D219">
        <v>12800</v>
      </c>
      <c r="E219">
        <v>400</v>
      </c>
      <c r="F219">
        <v>110</v>
      </c>
      <c r="G219">
        <v>17</v>
      </c>
      <c r="H219">
        <v>95000</v>
      </c>
      <c r="I219" t="s">
        <v>50</v>
      </c>
      <c r="J219">
        <v>2</v>
      </c>
      <c r="K219">
        <v>1800</v>
      </c>
    </row>
    <row r="220" spans="1:11" hidden="1" x14ac:dyDescent="0.25">
      <c r="A220" t="s">
        <v>701</v>
      </c>
      <c r="B220" t="s">
        <v>795</v>
      </c>
      <c r="C220" t="s">
        <v>539</v>
      </c>
      <c r="E220">
        <v>375</v>
      </c>
      <c r="F220">
        <v>240</v>
      </c>
      <c r="G220">
        <v>5.0999999999999996</v>
      </c>
      <c r="H220">
        <v>94800</v>
      </c>
      <c r="I220" t="s">
        <v>132</v>
      </c>
      <c r="J220">
        <v>4</v>
      </c>
      <c r="K220">
        <v>500</v>
      </c>
    </row>
    <row r="221" spans="1:11" hidden="1" x14ac:dyDescent="0.25">
      <c r="A221" t="s">
        <v>701</v>
      </c>
      <c r="B221" t="s">
        <v>777</v>
      </c>
      <c r="C221" t="s">
        <v>759</v>
      </c>
      <c r="D221">
        <v>2894</v>
      </c>
      <c r="E221">
        <v>434</v>
      </c>
      <c r="F221">
        <v>263</v>
      </c>
      <c r="G221">
        <v>4.7</v>
      </c>
      <c r="H221">
        <v>94300</v>
      </c>
      <c r="I221" t="s">
        <v>18</v>
      </c>
      <c r="J221">
        <v>4</v>
      </c>
      <c r="K221">
        <v>550</v>
      </c>
    </row>
    <row r="222" spans="1:11" hidden="1" x14ac:dyDescent="0.25">
      <c r="A222" t="s">
        <v>1007</v>
      </c>
      <c r="B222" t="s">
        <v>1031</v>
      </c>
      <c r="C222" t="s">
        <v>846</v>
      </c>
      <c r="D222">
        <v>6200</v>
      </c>
      <c r="E222">
        <v>420</v>
      </c>
      <c r="F222">
        <v>200</v>
      </c>
      <c r="G222">
        <v>6.7</v>
      </c>
      <c r="H222">
        <v>93800</v>
      </c>
      <c r="I222" t="s">
        <v>18</v>
      </c>
      <c r="J222">
        <v>8</v>
      </c>
      <c r="K222">
        <v>624</v>
      </c>
    </row>
    <row r="223" spans="1:11" hidden="1" x14ac:dyDescent="0.25">
      <c r="A223" t="s">
        <v>701</v>
      </c>
      <c r="B223" t="s">
        <v>758</v>
      </c>
      <c r="C223" t="s">
        <v>759</v>
      </c>
      <c r="D223">
        <v>2894</v>
      </c>
      <c r="E223">
        <v>325</v>
      </c>
      <c r="F223">
        <v>265</v>
      </c>
      <c r="G223">
        <v>5.6</v>
      </c>
      <c r="H223">
        <v>92300</v>
      </c>
      <c r="I223" t="s">
        <v>18</v>
      </c>
      <c r="J223">
        <v>4</v>
      </c>
      <c r="K223">
        <v>450</v>
      </c>
    </row>
    <row r="224" spans="1:11" hidden="1" x14ac:dyDescent="0.25">
      <c r="A224" t="s">
        <v>787</v>
      </c>
      <c r="B224" t="s">
        <v>930</v>
      </c>
      <c r="C224" t="s">
        <v>928</v>
      </c>
      <c r="D224">
        <v>6200</v>
      </c>
      <c r="E224">
        <v>668</v>
      </c>
      <c r="F224">
        <v>320</v>
      </c>
      <c r="G224">
        <v>3.4</v>
      </c>
      <c r="H224">
        <v>92000</v>
      </c>
      <c r="I224" t="s">
        <v>18</v>
      </c>
      <c r="J224">
        <v>5</v>
      </c>
      <c r="K224">
        <v>893</v>
      </c>
    </row>
    <row r="225" spans="1:11" hidden="1" x14ac:dyDescent="0.25">
      <c r="A225" t="s">
        <v>701</v>
      </c>
      <c r="B225" t="s">
        <v>704</v>
      </c>
      <c r="C225" t="s">
        <v>703</v>
      </c>
      <c r="D225">
        <v>2894</v>
      </c>
      <c r="F225">
        <v>270</v>
      </c>
      <c r="G225">
        <v>5.4</v>
      </c>
      <c r="H225">
        <v>92000</v>
      </c>
      <c r="I225" t="s">
        <v>18</v>
      </c>
      <c r="J225">
        <v>4</v>
      </c>
      <c r="K225">
        <v>450</v>
      </c>
    </row>
    <row r="226" spans="1:11" hidden="1" x14ac:dyDescent="0.25">
      <c r="A226" t="s">
        <v>886</v>
      </c>
      <c r="B226" t="s">
        <v>902</v>
      </c>
      <c r="C226" t="s">
        <v>903</v>
      </c>
      <c r="D226">
        <v>6400</v>
      </c>
      <c r="E226">
        <v>471</v>
      </c>
      <c r="F226">
        <v>190</v>
      </c>
      <c r="G226">
        <v>6</v>
      </c>
      <c r="H226">
        <v>91495</v>
      </c>
      <c r="I226" t="s">
        <v>18</v>
      </c>
      <c r="J226">
        <v>8</v>
      </c>
      <c r="K226">
        <v>617</v>
      </c>
    </row>
    <row r="227" spans="1:11" hidden="1" x14ac:dyDescent="0.25">
      <c r="A227" t="s">
        <v>701</v>
      </c>
      <c r="B227" t="s">
        <v>775</v>
      </c>
      <c r="C227" t="s">
        <v>776</v>
      </c>
      <c r="D227">
        <v>2995</v>
      </c>
      <c r="E227">
        <v>455</v>
      </c>
      <c r="F227">
        <v>253</v>
      </c>
      <c r="G227">
        <v>4.8</v>
      </c>
      <c r="H227">
        <v>91000</v>
      </c>
      <c r="I227" t="s">
        <v>65</v>
      </c>
      <c r="J227">
        <v>5</v>
      </c>
      <c r="K227">
        <v>700</v>
      </c>
    </row>
    <row r="228" spans="1:11" hidden="1" x14ac:dyDescent="0.25">
      <c r="A228" t="s">
        <v>701</v>
      </c>
      <c r="B228" t="s">
        <v>797</v>
      </c>
      <c r="C228" t="s">
        <v>539</v>
      </c>
      <c r="E228">
        <v>375</v>
      </c>
      <c r="F228">
        <v>230</v>
      </c>
      <c r="G228">
        <v>5.4</v>
      </c>
      <c r="H228">
        <v>90500</v>
      </c>
      <c r="I228" t="s">
        <v>132</v>
      </c>
      <c r="J228">
        <v>4</v>
      </c>
      <c r="K228">
        <v>500</v>
      </c>
    </row>
    <row r="229" spans="1:11" hidden="1" x14ac:dyDescent="0.25">
      <c r="A229" t="s">
        <v>701</v>
      </c>
      <c r="B229" t="s">
        <v>756</v>
      </c>
      <c r="C229" t="s">
        <v>737</v>
      </c>
      <c r="D229">
        <v>3995</v>
      </c>
      <c r="E229">
        <v>394</v>
      </c>
      <c r="F229">
        <v>293</v>
      </c>
      <c r="G229">
        <v>4.3</v>
      </c>
      <c r="H229">
        <v>90300</v>
      </c>
      <c r="I229" t="s">
        <v>18</v>
      </c>
      <c r="J229">
        <v>2</v>
      </c>
      <c r="K229">
        <v>430</v>
      </c>
    </row>
    <row r="230" spans="1:11" hidden="1" x14ac:dyDescent="0.25">
      <c r="A230" t="s">
        <v>1007</v>
      </c>
      <c r="B230" t="s">
        <v>1075</v>
      </c>
      <c r="C230" t="s">
        <v>1048</v>
      </c>
      <c r="D230">
        <v>6162</v>
      </c>
      <c r="E230">
        <v>420</v>
      </c>
      <c r="F230">
        <v>210</v>
      </c>
      <c r="G230">
        <v>6</v>
      </c>
      <c r="H230">
        <v>90000</v>
      </c>
      <c r="I230" t="s">
        <v>18</v>
      </c>
      <c r="J230">
        <v>8</v>
      </c>
      <c r="K230">
        <v>624</v>
      </c>
    </row>
    <row r="231" spans="1:11" hidden="1" x14ac:dyDescent="0.25">
      <c r="A231" t="s">
        <v>22</v>
      </c>
      <c r="B231" t="s">
        <v>129</v>
      </c>
      <c r="C231" t="s">
        <v>45</v>
      </c>
      <c r="D231">
        <v>1991</v>
      </c>
      <c r="E231">
        <v>255</v>
      </c>
      <c r="F231">
        <v>250</v>
      </c>
      <c r="G231">
        <v>6.5</v>
      </c>
      <c r="H231">
        <v>90000</v>
      </c>
      <c r="I231" t="s">
        <v>18</v>
      </c>
      <c r="J231">
        <v>5</v>
      </c>
      <c r="K231">
        <v>500</v>
      </c>
    </row>
    <row r="232" spans="1:11" hidden="1" x14ac:dyDescent="0.25">
      <c r="A232" t="s">
        <v>1178</v>
      </c>
      <c r="B232" t="s">
        <v>1200</v>
      </c>
      <c r="C232" t="s">
        <v>1185</v>
      </c>
      <c r="E232">
        <v>300</v>
      </c>
      <c r="F232">
        <v>250</v>
      </c>
      <c r="G232">
        <v>6</v>
      </c>
      <c r="H232">
        <v>90000</v>
      </c>
      <c r="I232" t="s">
        <v>18</v>
      </c>
      <c r="J232">
        <v>5</v>
      </c>
      <c r="K232">
        <v>400</v>
      </c>
    </row>
    <row r="233" spans="1:11" hidden="1" x14ac:dyDescent="0.25">
      <c r="A233" t="s">
        <v>1178</v>
      </c>
      <c r="B233" t="s">
        <v>1203</v>
      </c>
      <c r="C233" t="s">
        <v>1188</v>
      </c>
      <c r="E233">
        <v>400</v>
      </c>
      <c r="F233">
        <v>200</v>
      </c>
      <c r="G233">
        <v>4.5</v>
      </c>
      <c r="H233">
        <v>90000</v>
      </c>
      <c r="I233" t="s">
        <v>132</v>
      </c>
      <c r="J233">
        <v>5</v>
      </c>
      <c r="K233">
        <v>696</v>
      </c>
    </row>
    <row r="234" spans="1:11" hidden="1" x14ac:dyDescent="0.25">
      <c r="A234" t="s">
        <v>1178</v>
      </c>
      <c r="B234" t="s">
        <v>1221</v>
      </c>
      <c r="C234" t="s">
        <v>1195</v>
      </c>
      <c r="E234">
        <v>510</v>
      </c>
      <c r="F234">
        <v>280</v>
      </c>
      <c r="G234">
        <v>4.2</v>
      </c>
      <c r="H234">
        <v>90000</v>
      </c>
      <c r="I234" t="s">
        <v>18</v>
      </c>
      <c r="J234">
        <v>5</v>
      </c>
      <c r="K234">
        <v>625</v>
      </c>
    </row>
    <row r="235" spans="1:11" hidden="1" x14ac:dyDescent="0.25">
      <c r="A235" t="s">
        <v>1178</v>
      </c>
      <c r="B235" t="s">
        <v>1222</v>
      </c>
      <c r="C235" t="s">
        <v>1195</v>
      </c>
      <c r="E235">
        <v>450</v>
      </c>
      <c r="F235">
        <v>290</v>
      </c>
      <c r="G235">
        <v>4</v>
      </c>
      <c r="H235">
        <v>90000</v>
      </c>
      <c r="I235" t="s">
        <v>18</v>
      </c>
      <c r="J235">
        <v>2</v>
      </c>
      <c r="K235">
        <v>600</v>
      </c>
    </row>
    <row r="236" spans="1:11" hidden="1" x14ac:dyDescent="0.25">
      <c r="A236" t="s">
        <v>871</v>
      </c>
      <c r="B236" t="s">
        <v>872</v>
      </c>
      <c r="C236" t="s">
        <v>539</v>
      </c>
      <c r="E236">
        <v>670</v>
      </c>
      <c r="F236">
        <v>250</v>
      </c>
      <c r="G236">
        <v>3.1</v>
      </c>
      <c r="H236">
        <v>88490</v>
      </c>
      <c r="I236" t="s">
        <v>132</v>
      </c>
      <c r="J236">
        <v>5</v>
      </c>
      <c r="K236">
        <v>967</v>
      </c>
    </row>
    <row r="237" spans="1:11" hidden="1" x14ac:dyDescent="0.25">
      <c r="A237" t="s">
        <v>701</v>
      </c>
      <c r="B237" t="s">
        <v>702</v>
      </c>
      <c r="C237" t="s">
        <v>703</v>
      </c>
      <c r="D237">
        <v>2894</v>
      </c>
      <c r="F237">
        <v>270</v>
      </c>
      <c r="G237">
        <v>5.6</v>
      </c>
      <c r="H237">
        <v>88000</v>
      </c>
      <c r="I237" t="s">
        <v>18</v>
      </c>
      <c r="J237">
        <v>4</v>
      </c>
      <c r="K237">
        <v>450</v>
      </c>
    </row>
    <row r="238" spans="1:11" hidden="1" x14ac:dyDescent="0.25">
      <c r="A238" t="s">
        <v>701</v>
      </c>
      <c r="B238" t="s">
        <v>740</v>
      </c>
      <c r="C238" t="s">
        <v>539</v>
      </c>
      <c r="E238">
        <v>402</v>
      </c>
      <c r="F238">
        <v>230</v>
      </c>
      <c r="G238">
        <v>5.4</v>
      </c>
      <c r="H238">
        <v>86700</v>
      </c>
      <c r="I238" t="s">
        <v>132</v>
      </c>
      <c r="J238">
        <v>4</v>
      </c>
      <c r="K238">
        <v>344</v>
      </c>
    </row>
    <row r="239" spans="1:11" hidden="1" x14ac:dyDescent="0.25">
      <c r="A239" t="s">
        <v>701</v>
      </c>
      <c r="B239" t="s">
        <v>786</v>
      </c>
      <c r="C239" t="s">
        <v>539</v>
      </c>
      <c r="E239">
        <v>321</v>
      </c>
      <c r="F239">
        <v>230</v>
      </c>
      <c r="G239">
        <v>5.4</v>
      </c>
      <c r="H239">
        <v>86700</v>
      </c>
      <c r="I239" t="s">
        <v>132</v>
      </c>
      <c r="J239">
        <v>4</v>
      </c>
      <c r="K239">
        <v>345</v>
      </c>
    </row>
    <row r="240" spans="1:11" hidden="1" x14ac:dyDescent="0.25">
      <c r="A240" t="s">
        <v>24</v>
      </c>
      <c r="B240" t="s">
        <v>163</v>
      </c>
      <c r="C240" t="s">
        <v>54</v>
      </c>
      <c r="D240">
        <v>2995</v>
      </c>
      <c r="E240">
        <v>335</v>
      </c>
      <c r="F240">
        <v>250</v>
      </c>
      <c r="G240">
        <v>5.7</v>
      </c>
      <c r="H240">
        <v>86000</v>
      </c>
      <c r="I240" t="s">
        <v>18</v>
      </c>
      <c r="J240">
        <v>5</v>
      </c>
      <c r="K240">
        <v>600</v>
      </c>
    </row>
    <row r="241" spans="1:11" hidden="1" x14ac:dyDescent="0.25">
      <c r="A241" t="s">
        <v>701</v>
      </c>
      <c r="B241" t="s">
        <v>784</v>
      </c>
      <c r="C241" t="s">
        <v>776</v>
      </c>
      <c r="D241">
        <v>2995</v>
      </c>
      <c r="E241">
        <v>380</v>
      </c>
      <c r="F241">
        <v>242</v>
      </c>
      <c r="G241">
        <v>6.5</v>
      </c>
      <c r="H241">
        <v>85500</v>
      </c>
      <c r="I241" t="s">
        <v>65</v>
      </c>
      <c r="J241">
        <v>5</v>
      </c>
      <c r="K241">
        <v>580</v>
      </c>
    </row>
    <row r="242" spans="1:11" hidden="1" x14ac:dyDescent="0.25">
      <c r="A242" t="s">
        <v>43</v>
      </c>
      <c r="B242" t="s">
        <v>49</v>
      </c>
      <c r="C242" t="s">
        <v>13</v>
      </c>
      <c r="D242">
        <v>5663</v>
      </c>
      <c r="E242">
        <v>381</v>
      </c>
      <c r="F242">
        <v>220</v>
      </c>
      <c r="G242">
        <v>6.7</v>
      </c>
      <c r="H242">
        <v>85000</v>
      </c>
      <c r="I242" t="s">
        <v>50</v>
      </c>
      <c r="J242">
        <v>7</v>
      </c>
      <c r="K242">
        <v>500</v>
      </c>
    </row>
    <row r="243" spans="1:11" hidden="1" x14ac:dyDescent="0.25">
      <c r="A243" t="s">
        <v>52</v>
      </c>
      <c r="B243" t="s">
        <v>540</v>
      </c>
      <c r="C243" t="s">
        <v>509</v>
      </c>
      <c r="D243">
        <v>5552</v>
      </c>
      <c r="F243">
        <v>210</v>
      </c>
      <c r="G243">
        <v>6.6</v>
      </c>
      <c r="H243">
        <v>85000</v>
      </c>
      <c r="I243" t="s">
        <v>18</v>
      </c>
      <c r="J243">
        <v>7</v>
      </c>
      <c r="K243">
        <v>560</v>
      </c>
    </row>
    <row r="244" spans="1:11" hidden="1" x14ac:dyDescent="0.25">
      <c r="A244" t="s">
        <v>52</v>
      </c>
      <c r="B244" t="s">
        <v>630</v>
      </c>
      <c r="C244" t="s">
        <v>509</v>
      </c>
      <c r="D244">
        <v>5552</v>
      </c>
      <c r="F244">
        <v>200</v>
      </c>
      <c r="G244">
        <v>6.5</v>
      </c>
      <c r="H244">
        <v>85000</v>
      </c>
      <c r="I244" t="s">
        <v>18</v>
      </c>
      <c r="J244">
        <v>7</v>
      </c>
      <c r="K244">
        <v>560</v>
      </c>
    </row>
    <row r="245" spans="1:11" hidden="1" x14ac:dyDescent="0.25">
      <c r="A245" t="s">
        <v>1007</v>
      </c>
      <c r="B245" t="s">
        <v>1076</v>
      </c>
      <c r="C245" t="s">
        <v>1042</v>
      </c>
      <c r="D245">
        <v>6600</v>
      </c>
      <c r="E245">
        <v>401</v>
      </c>
      <c r="F245">
        <v>170</v>
      </c>
      <c r="G245">
        <v>7.5</v>
      </c>
      <c r="H245">
        <v>85000</v>
      </c>
      <c r="I245" t="s">
        <v>18</v>
      </c>
      <c r="J245">
        <v>5</v>
      </c>
      <c r="K245">
        <v>629</v>
      </c>
    </row>
    <row r="246" spans="1:11" hidden="1" x14ac:dyDescent="0.25">
      <c r="A246" t="s">
        <v>701</v>
      </c>
      <c r="B246" t="s">
        <v>717</v>
      </c>
      <c r="C246" t="s">
        <v>690</v>
      </c>
      <c r="D246">
        <v>2995</v>
      </c>
      <c r="F246">
        <v>245</v>
      </c>
      <c r="G246">
        <v>6</v>
      </c>
      <c r="H246">
        <v>85000</v>
      </c>
      <c r="I246" t="s">
        <v>18</v>
      </c>
      <c r="J246">
        <v>5</v>
      </c>
      <c r="K246">
        <v>450</v>
      </c>
    </row>
    <row r="247" spans="1:11" hidden="1" x14ac:dyDescent="0.25">
      <c r="A247" t="s">
        <v>701</v>
      </c>
      <c r="B247" t="s">
        <v>724</v>
      </c>
      <c r="C247" t="s">
        <v>703</v>
      </c>
      <c r="D247">
        <v>2894</v>
      </c>
      <c r="F247">
        <v>272</v>
      </c>
      <c r="G247">
        <v>4.5</v>
      </c>
      <c r="H247">
        <v>85000</v>
      </c>
      <c r="I247" t="s">
        <v>18</v>
      </c>
      <c r="J247">
        <v>5</v>
      </c>
      <c r="K247">
        <v>550</v>
      </c>
    </row>
    <row r="248" spans="1:11" hidden="1" x14ac:dyDescent="0.25">
      <c r="A248" t="s">
        <v>351</v>
      </c>
      <c r="B248" t="s">
        <v>411</v>
      </c>
      <c r="C248" t="s">
        <v>412</v>
      </c>
      <c r="E248">
        <v>345</v>
      </c>
      <c r="F248">
        <v>250</v>
      </c>
      <c r="G248">
        <v>6.1</v>
      </c>
      <c r="H248">
        <v>85000</v>
      </c>
      <c r="I248" t="s">
        <v>18</v>
      </c>
      <c r="J248">
        <v>5</v>
      </c>
      <c r="K248">
        <v>560</v>
      </c>
    </row>
    <row r="249" spans="1:11" hidden="1" x14ac:dyDescent="0.25">
      <c r="A249" t="s">
        <v>701</v>
      </c>
      <c r="B249" t="s">
        <v>772</v>
      </c>
      <c r="C249" t="s">
        <v>539</v>
      </c>
      <c r="E249">
        <v>603</v>
      </c>
      <c r="F249">
        <v>240</v>
      </c>
      <c r="G249">
        <v>4</v>
      </c>
      <c r="H249">
        <v>85000</v>
      </c>
      <c r="I249" t="s">
        <v>132</v>
      </c>
      <c r="J249">
        <v>5</v>
      </c>
      <c r="K249">
        <v>750</v>
      </c>
    </row>
    <row r="250" spans="1:11" hidden="1" x14ac:dyDescent="0.25">
      <c r="A250" t="s">
        <v>1178</v>
      </c>
      <c r="B250" t="s">
        <v>1184</v>
      </c>
      <c r="C250" t="s">
        <v>1185</v>
      </c>
      <c r="E250">
        <v>300</v>
      </c>
      <c r="F250">
        <v>250</v>
      </c>
      <c r="G250">
        <v>6</v>
      </c>
      <c r="H250">
        <v>85000</v>
      </c>
      <c r="I250" t="s">
        <v>18</v>
      </c>
      <c r="J250">
        <v>5</v>
      </c>
      <c r="K250">
        <v>400</v>
      </c>
    </row>
    <row r="251" spans="1:11" hidden="1" x14ac:dyDescent="0.25">
      <c r="A251" t="s">
        <v>1178</v>
      </c>
      <c r="B251" t="s">
        <v>1196</v>
      </c>
      <c r="C251" t="s">
        <v>1188</v>
      </c>
      <c r="E251">
        <v>400</v>
      </c>
      <c r="F251">
        <v>200</v>
      </c>
      <c r="G251">
        <v>4.5</v>
      </c>
      <c r="H251">
        <v>85000</v>
      </c>
      <c r="I251" t="s">
        <v>132</v>
      </c>
      <c r="J251">
        <v>5</v>
      </c>
      <c r="K251">
        <v>696</v>
      </c>
    </row>
    <row r="252" spans="1:11" hidden="1" x14ac:dyDescent="0.25">
      <c r="A252" t="s">
        <v>1178</v>
      </c>
      <c r="B252" t="s">
        <v>1197</v>
      </c>
      <c r="C252" t="s">
        <v>1195</v>
      </c>
      <c r="E252">
        <v>550</v>
      </c>
      <c r="F252">
        <v>283</v>
      </c>
      <c r="G252">
        <v>4</v>
      </c>
      <c r="H252">
        <v>85000</v>
      </c>
      <c r="I252" t="s">
        <v>18</v>
      </c>
      <c r="J252">
        <v>5</v>
      </c>
      <c r="K252">
        <v>700</v>
      </c>
    </row>
    <row r="253" spans="1:11" hidden="1" x14ac:dyDescent="0.25">
      <c r="A253" t="s">
        <v>1178</v>
      </c>
      <c r="B253" t="s">
        <v>1208</v>
      </c>
      <c r="C253" t="s">
        <v>1188</v>
      </c>
      <c r="E253">
        <v>400</v>
      </c>
      <c r="F253">
        <v>200</v>
      </c>
      <c r="G253">
        <v>4.5</v>
      </c>
      <c r="H253">
        <v>85000</v>
      </c>
      <c r="I253" t="s">
        <v>132</v>
      </c>
      <c r="J253">
        <v>5</v>
      </c>
      <c r="K253">
        <v>696</v>
      </c>
    </row>
    <row r="254" spans="1:11" hidden="1" x14ac:dyDescent="0.25">
      <c r="A254" t="s">
        <v>1178</v>
      </c>
      <c r="B254" t="s">
        <v>1219</v>
      </c>
      <c r="C254" t="s">
        <v>1188</v>
      </c>
      <c r="E254">
        <v>400</v>
      </c>
      <c r="F254">
        <v>200</v>
      </c>
      <c r="G254">
        <v>4.5</v>
      </c>
      <c r="H254">
        <v>85000</v>
      </c>
      <c r="I254" t="s">
        <v>132</v>
      </c>
      <c r="J254">
        <v>5</v>
      </c>
      <c r="K254">
        <v>696</v>
      </c>
    </row>
    <row r="255" spans="1:11" hidden="1" x14ac:dyDescent="0.25">
      <c r="A255" t="s">
        <v>213</v>
      </c>
      <c r="B255" t="s">
        <v>1174</v>
      </c>
      <c r="C255" t="s">
        <v>1175</v>
      </c>
      <c r="D255">
        <v>7700</v>
      </c>
      <c r="E255">
        <v>280</v>
      </c>
      <c r="F255">
        <v>90</v>
      </c>
      <c r="G255">
        <v>20</v>
      </c>
      <c r="H255">
        <v>85000</v>
      </c>
      <c r="I255" t="s">
        <v>50</v>
      </c>
      <c r="J255">
        <v>2</v>
      </c>
      <c r="K255">
        <v>1200</v>
      </c>
    </row>
    <row r="256" spans="1:11" hidden="1" x14ac:dyDescent="0.25">
      <c r="A256" t="s">
        <v>19</v>
      </c>
      <c r="B256" t="s">
        <v>1378</v>
      </c>
      <c r="C256" t="s">
        <v>1260</v>
      </c>
      <c r="D256">
        <v>3500</v>
      </c>
      <c r="E256">
        <v>450</v>
      </c>
      <c r="F256">
        <v>190</v>
      </c>
      <c r="G256">
        <v>6.1</v>
      </c>
      <c r="H256">
        <v>84910</v>
      </c>
      <c r="I256" t="s">
        <v>18</v>
      </c>
      <c r="J256">
        <v>5</v>
      </c>
      <c r="K256">
        <v>678</v>
      </c>
    </row>
    <row r="257" spans="1:11" x14ac:dyDescent="0.25">
      <c r="A257" t="s">
        <v>27</v>
      </c>
      <c r="B257" t="s">
        <v>138</v>
      </c>
      <c r="C257" t="s">
        <v>136</v>
      </c>
      <c r="D257">
        <v>2993</v>
      </c>
      <c r="E257">
        <v>444</v>
      </c>
      <c r="F257">
        <v>280</v>
      </c>
      <c r="G257">
        <v>4</v>
      </c>
      <c r="H257">
        <v>83000</v>
      </c>
      <c r="I257" t="s">
        <v>18</v>
      </c>
      <c r="J257">
        <v>4</v>
      </c>
      <c r="K257">
        <v>550</v>
      </c>
    </row>
    <row r="258" spans="1:11" hidden="1" x14ac:dyDescent="0.25">
      <c r="A258" t="s">
        <v>886</v>
      </c>
      <c r="B258" t="s">
        <v>919</v>
      </c>
      <c r="C258" t="s">
        <v>920</v>
      </c>
      <c r="D258">
        <v>6400</v>
      </c>
      <c r="E258">
        <v>470</v>
      </c>
      <c r="F258">
        <v>160</v>
      </c>
      <c r="G258">
        <v>4.5</v>
      </c>
      <c r="H258">
        <v>82495</v>
      </c>
      <c r="I258" t="s">
        <v>18</v>
      </c>
      <c r="J258">
        <v>4</v>
      </c>
      <c r="K258">
        <v>637</v>
      </c>
    </row>
    <row r="259" spans="1:11" hidden="1" x14ac:dyDescent="0.25">
      <c r="A259" t="s">
        <v>939</v>
      </c>
      <c r="B259" t="s">
        <v>987</v>
      </c>
      <c r="C259" t="s">
        <v>846</v>
      </c>
      <c r="D259">
        <v>6200</v>
      </c>
      <c r="E259">
        <v>420</v>
      </c>
      <c r="F259">
        <v>200</v>
      </c>
      <c r="G259">
        <v>7</v>
      </c>
      <c r="H259">
        <v>82400</v>
      </c>
      <c r="I259" t="s">
        <v>18</v>
      </c>
      <c r="J259">
        <v>8</v>
      </c>
      <c r="K259">
        <v>624</v>
      </c>
    </row>
    <row r="260" spans="1:11" hidden="1" x14ac:dyDescent="0.25">
      <c r="A260" t="s">
        <v>787</v>
      </c>
      <c r="B260" t="s">
        <v>854</v>
      </c>
      <c r="C260" t="s">
        <v>846</v>
      </c>
      <c r="D260">
        <v>6200</v>
      </c>
      <c r="E260">
        <v>420</v>
      </c>
      <c r="F260">
        <v>205</v>
      </c>
      <c r="G260">
        <v>6.9</v>
      </c>
      <c r="H260">
        <v>82295</v>
      </c>
      <c r="I260" t="s">
        <v>18</v>
      </c>
      <c r="J260">
        <v>7</v>
      </c>
      <c r="K260">
        <v>624</v>
      </c>
    </row>
    <row r="261" spans="1:11" hidden="1" x14ac:dyDescent="0.25">
      <c r="A261" t="s">
        <v>1007</v>
      </c>
      <c r="B261" t="s">
        <v>1049</v>
      </c>
      <c r="C261" t="s">
        <v>1048</v>
      </c>
      <c r="D261">
        <v>6162</v>
      </c>
      <c r="E261">
        <v>420</v>
      </c>
      <c r="F261">
        <v>210</v>
      </c>
      <c r="G261">
        <v>6</v>
      </c>
      <c r="H261">
        <v>82000</v>
      </c>
      <c r="I261" t="s">
        <v>18</v>
      </c>
      <c r="J261">
        <v>7</v>
      </c>
      <c r="K261">
        <v>624</v>
      </c>
    </row>
    <row r="262" spans="1:11" hidden="1" x14ac:dyDescent="0.25">
      <c r="A262" t="s">
        <v>1007</v>
      </c>
      <c r="B262" t="s">
        <v>1069</v>
      </c>
      <c r="C262" t="s">
        <v>1048</v>
      </c>
      <c r="D262">
        <v>6162</v>
      </c>
      <c r="E262">
        <v>420</v>
      </c>
      <c r="F262">
        <v>200</v>
      </c>
      <c r="G262">
        <v>5.9</v>
      </c>
      <c r="H262">
        <v>82000</v>
      </c>
      <c r="I262" t="s">
        <v>18</v>
      </c>
      <c r="J262">
        <v>5</v>
      </c>
      <c r="K262">
        <v>624</v>
      </c>
    </row>
    <row r="263" spans="1:11" x14ac:dyDescent="0.25">
      <c r="A263" t="s">
        <v>27</v>
      </c>
      <c r="B263" t="s">
        <v>184</v>
      </c>
      <c r="C263" t="s">
        <v>136</v>
      </c>
      <c r="D263">
        <v>2993</v>
      </c>
      <c r="E263">
        <v>503</v>
      </c>
      <c r="F263">
        <v>290</v>
      </c>
      <c r="G263">
        <v>3.8</v>
      </c>
      <c r="H263">
        <v>81000</v>
      </c>
      <c r="I263" t="s">
        <v>18</v>
      </c>
      <c r="J263">
        <v>4</v>
      </c>
      <c r="K263">
        <v>650</v>
      </c>
    </row>
    <row r="264" spans="1:11" hidden="1" x14ac:dyDescent="0.25">
      <c r="A264" t="s">
        <v>1007</v>
      </c>
      <c r="B264" t="s">
        <v>1047</v>
      </c>
      <c r="C264" t="s">
        <v>1048</v>
      </c>
      <c r="D264">
        <v>6162</v>
      </c>
      <c r="E264">
        <v>420</v>
      </c>
      <c r="F264">
        <v>200</v>
      </c>
      <c r="G264">
        <v>5.8</v>
      </c>
      <c r="H264">
        <v>80000</v>
      </c>
      <c r="I264" t="s">
        <v>18</v>
      </c>
      <c r="J264">
        <v>5</v>
      </c>
      <c r="K264">
        <v>624</v>
      </c>
    </row>
    <row r="265" spans="1:11" hidden="1" x14ac:dyDescent="0.25">
      <c r="A265" t="s">
        <v>701</v>
      </c>
      <c r="B265" t="s">
        <v>716</v>
      </c>
      <c r="C265" t="s">
        <v>690</v>
      </c>
      <c r="D265">
        <v>2995</v>
      </c>
      <c r="F265">
        <v>245</v>
      </c>
      <c r="G265">
        <v>5.9</v>
      </c>
      <c r="H265">
        <v>80000</v>
      </c>
      <c r="I265" t="s">
        <v>18</v>
      </c>
      <c r="J265">
        <v>5</v>
      </c>
      <c r="K265">
        <v>450</v>
      </c>
    </row>
    <row r="266" spans="1:11" hidden="1" x14ac:dyDescent="0.25">
      <c r="A266" t="s">
        <v>886</v>
      </c>
      <c r="B266" t="s">
        <v>913</v>
      </c>
      <c r="C266" t="s">
        <v>539</v>
      </c>
      <c r="E266">
        <v>600</v>
      </c>
      <c r="F266">
        <v>177</v>
      </c>
      <c r="G266">
        <v>4.5</v>
      </c>
      <c r="H266">
        <v>80000</v>
      </c>
      <c r="I266" t="s">
        <v>132</v>
      </c>
      <c r="J266">
        <v>5</v>
      </c>
      <c r="K266">
        <v>850</v>
      </c>
    </row>
    <row r="267" spans="1:11" hidden="1" x14ac:dyDescent="0.25">
      <c r="A267" t="s">
        <v>1178</v>
      </c>
      <c r="B267" t="s">
        <v>1211</v>
      </c>
      <c r="C267" t="s">
        <v>1185</v>
      </c>
      <c r="E267">
        <v>300</v>
      </c>
      <c r="F267">
        <v>250</v>
      </c>
      <c r="G267">
        <v>6</v>
      </c>
      <c r="H267">
        <v>80000</v>
      </c>
      <c r="I267" t="s">
        <v>18</v>
      </c>
      <c r="J267">
        <v>5</v>
      </c>
      <c r="K267">
        <v>400</v>
      </c>
    </row>
    <row r="268" spans="1:11" hidden="1" x14ac:dyDescent="0.25">
      <c r="A268" t="s">
        <v>1398</v>
      </c>
      <c r="B268" t="s">
        <v>1455</v>
      </c>
      <c r="C268" t="s">
        <v>1456</v>
      </c>
      <c r="D268">
        <v>7500</v>
      </c>
      <c r="E268">
        <v>240</v>
      </c>
      <c r="F268">
        <v>120</v>
      </c>
      <c r="H268">
        <v>80000</v>
      </c>
      <c r="I268" t="s">
        <v>50</v>
      </c>
      <c r="J268">
        <v>2</v>
      </c>
      <c r="K268">
        <v>686</v>
      </c>
    </row>
    <row r="269" spans="1:11" hidden="1" x14ac:dyDescent="0.25">
      <c r="A269" t="s">
        <v>1178</v>
      </c>
      <c r="B269" t="s">
        <v>1215</v>
      </c>
      <c r="C269" t="s">
        <v>1185</v>
      </c>
      <c r="E269">
        <v>380</v>
      </c>
      <c r="F269">
        <v>280</v>
      </c>
      <c r="G269">
        <v>4.8</v>
      </c>
      <c r="H269">
        <v>80000</v>
      </c>
      <c r="I269" t="s">
        <v>18</v>
      </c>
      <c r="J269">
        <v>2</v>
      </c>
      <c r="K269">
        <v>460</v>
      </c>
    </row>
    <row r="270" spans="1:11" hidden="1" x14ac:dyDescent="0.25">
      <c r="A270" t="s">
        <v>19</v>
      </c>
      <c r="B270" t="s">
        <v>1380</v>
      </c>
      <c r="C270" t="s">
        <v>1260</v>
      </c>
      <c r="D270">
        <v>3500</v>
      </c>
      <c r="E270">
        <v>440</v>
      </c>
      <c r="F270">
        <v>210</v>
      </c>
      <c r="G270">
        <v>6.8</v>
      </c>
      <c r="H270">
        <v>79560</v>
      </c>
      <c r="I270" t="s">
        <v>18</v>
      </c>
      <c r="J270">
        <v>8</v>
      </c>
      <c r="K270">
        <v>691</v>
      </c>
    </row>
    <row r="271" spans="1:11" hidden="1" x14ac:dyDescent="0.25">
      <c r="A271" t="s">
        <v>19</v>
      </c>
      <c r="B271" t="s">
        <v>1373</v>
      </c>
      <c r="C271" t="s">
        <v>1374</v>
      </c>
      <c r="D271">
        <v>5200</v>
      </c>
      <c r="E271">
        <v>760</v>
      </c>
      <c r="F271">
        <v>290</v>
      </c>
      <c r="G271">
        <v>3.5</v>
      </c>
      <c r="H271">
        <v>79420</v>
      </c>
      <c r="I271" t="s">
        <v>18</v>
      </c>
      <c r="J271">
        <v>2</v>
      </c>
      <c r="K271">
        <v>847</v>
      </c>
    </row>
    <row r="272" spans="1:11" hidden="1" x14ac:dyDescent="0.25">
      <c r="A272" t="s">
        <v>787</v>
      </c>
      <c r="B272" t="s">
        <v>845</v>
      </c>
      <c r="C272" t="s">
        <v>846</v>
      </c>
      <c r="D272">
        <v>6200</v>
      </c>
      <c r="E272">
        <v>420</v>
      </c>
      <c r="F272">
        <v>210</v>
      </c>
      <c r="G272">
        <v>6.8</v>
      </c>
      <c r="H272">
        <v>79295</v>
      </c>
      <c r="I272" t="s">
        <v>18</v>
      </c>
      <c r="J272">
        <v>7</v>
      </c>
      <c r="K272">
        <v>624</v>
      </c>
    </row>
    <row r="273" spans="1:11" hidden="1" x14ac:dyDescent="0.25">
      <c r="A273" t="s">
        <v>701</v>
      </c>
      <c r="B273" t="s">
        <v>779</v>
      </c>
      <c r="C273" t="s">
        <v>774</v>
      </c>
      <c r="D273">
        <v>2995</v>
      </c>
      <c r="E273">
        <v>335</v>
      </c>
      <c r="F273">
        <v>245</v>
      </c>
      <c r="G273">
        <v>5.8</v>
      </c>
      <c r="H273">
        <v>79000</v>
      </c>
      <c r="I273" t="s">
        <v>18</v>
      </c>
      <c r="J273">
        <v>5</v>
      </c>
      <c r="K273">
        <v>450</v>
      </c>
    </row>
    <row r="274" spans="1:11" hidden="1" x14ac:dyDescent="0.25">
      <c r="A274" t="s">
        <v>1007</v>
      </c>
      <c r="B274" t="s">
        <v>1079</v>
      </c>
      <c r="C274" t="s">
        <v>1036</v>
      </c>
      <c r="D274">
        <v>5327</v>
      </c>
      <c r="E274">
        <v>355</v>
      </c>
      <c r="F274">
        <v>210</v>
      </c>
      <c r="G274">
        <v>7.5</v>
      </c>
      <c r="H274">
        <v>78000</v>
      </c>
      <c r="I274" t="s">
        <v>18</v>
      </c>
      <c r="J274">
        <v>8</v>
      </c>
      <c r="K274">
        <v>519</v>
      </c>
    </row>
    <row r="275" spans="1:11" x14ac:dyDescent="0.25">
      <c r="A275" t="s">
        <v>27</v>
      </c>
      <c r="B275" t="s">
        <v>186</v>
      </c>
      <c r="C275" t="s">
        <v>13</v>
      </c>
      <c r="D275">
        <v>4395</v>
      </c>
      <c r="E275">
        <v>523</v>
      </c>
      <c r="F275">
        <v>250</v>
      </c>
      <c r="G275">
        <v>3.6</v>
      </c>
      <c r="H275">
        <v>78000</v>
      </c>
      <c r="I275" t="s">
        <v>18</v>
      </c>
      <c r="J275">
        <v>5</v>
      </c>
      <c r="K275">
        <v>650</v>
      </c>
    </row>
    <row r="276" spans="1:11" hidden="1" x14ac:dyDescent="0.25">
      <c r="A276" t="s">
        <v>24</v>
      </c>
      <c r="B276" t="s">
        <v>177</v>
      </c>
      <c r="C276" t="s">
        <v>178</v>
      </c>
      <c r="E276">
        <v>402</v>
      </c>
      <c r="F276">
        <v>200</v>
      </c>
      <c r="G276">
        <v>5.5</v>
      </c>
      <c r="H276">
        <v>78000</v>
      </c>
      <c r="I276" t="s">
        <v>132</v>
      </c>
      <c r="J276">
        <v>5</v>
      </c>
      <c r="K276">
        <v>664</v>
      </c>
    </row>
    <row r="277" spans="1:11" hidden="1" x14ac:dyDescent="0.25">
      <c r="A277" t="s">
        <v>52</v>
      </c>
      <c r="B277" t="s">
        <v>508</v>
      </c>
      <c r="C277" t="s">
        <v>509</v>
      </c>
      <c r="D277">
        <v>5552</v>
      </c>
      <c r="F277">
        <v>210</v>
      </c>
      <c r="G277">
        <v>7.3</v>
      </c>
      <c r="H277">
        <v>77000</v>
      </c>
      <c r="I277" t="s">
        <v>18</v>
      </c>
      <c r="J277">
        <v>7</v>
      </c>
      <c r="K277">
        <v>560</v>
      </c>
    </row>
    <row r="278" spans="1:11" hidden="1" x14ac:dyDescent="0.25">
      <c r="A278" t="s">
        <v>52</v>
      </c>
      <c r="B278" t="s">
        <v>533</v>
      </c>
      <c r="C278" t="s">
        <v>509</v>
      </c>
      <c r="D278">
        <v>5552</v>
      </c>
      <c r="F278">
        <v>210</v>
      </c>
      <c r="G278">
        <v>7.3</v>
      </c>
      <c r="H278">
        <v>77000</v>
      </c>
      <c r="I278" t="s">
        <v>18</v>
      </c>
      <c r="J278">
        <v>7</v>
      </c>
      <c r="K278">
        <v>560</v>
      </c>
    </row>
    <row r="279" spans="1:11" hidden="1" x14ac:dyDescent="0.25">
      <c r="A279" t="s">
        <v>1007</v>
      </c>
      <c r="B279" t="s">
        <v>1057</v>
      </c>
      <c r="C279" t="s">
        <v>1048</v>
      </c>
      <c r="D279">
        <v>6162</v>
      </c>
      <c r="E279">
        <v>420</v>
      </c>
      <c r="F279">
        <v>210</v>
      </c>
      <c r="G279">
        <v>6</v>
      </c>
      <c r="H279">
        <v>76805</v>
      </c>
      <c r="I279" t="s">
        <v>18</v>
      </c>
      <c r="J279">
        <v>8</v>
      </c>
      <c r="K279">
        <v>624</v>
      </c>
    </row>
    <row r="280" spans="1:11" hidden="1" x14ac:dyDescent="0.25">
      <c r="A280" t="s">
        <v>939</v>
      </c>
      <c r="B280" t="s">
        <v>1004</v>
      </c>
      <c r="C280" t="s">
        <v>846</v>
      </c>
      <c r="D280">
        <v>6200</v>
      </c>
      <c r="E280">
        <v>420</v>
      </c>
      <c r="F280">
        <v>200</v>
      </c>
      <c r="G280">
        <v>6.7</v>
      </c>
      <c r="H280">
        <v>76700</v>
      </c>
      <c r="I280" t="s">
        <v>18</v>
      </c>
      <c r="J280">
        <v>7</v>
      </c>
      <c r="K280">
        <v>624</v>
      </c>
    </row>
    <row r="281" spans="1:11" x14ac:dyDescent="0.25">
      <c r="A281" t="s">
        <v>27</v>
      </c>
      <c r="B281" t="s">
        <v>137</v>
      </c>
      <c r="C281" t="s">
        <v>136</v>
      </c>
      <c r="D281">
        <v>2993</v>
      </c>
      <c r="E281">
        <v>503</v>
      </c>
      <c r="F281">
        <v>285</v>
      </c>
      <c r="G281">
        <v>3.5</v>
      </c>
      <c r="H281">
        <v>76000</v>
      </c>
      <c r="I281" t="s">
        <v>18</v>
      </c>
      <c r="J281">
        <v>5</v>
      </c>
      <c r="K281">
        <v>650</v>
      </c>
    </row>
    <row r="282" spans="1:11" hidden="1" x14ac:dyDescent="0.25">
      <c r="A282" t="s">
        <v>939</v>
      </c>
      <c r="B282" t="s">
        <v>985</v>
      </c>
      <c r="C282" t="s">
        <v>959</v>
      </c>
      <c r="D282">
        <v>6600</v>
      </c>
      <c r="E282">
        <v>445</v>
      </c>
      <c r="F282">
        <v>160</v>
      </c>
      <c r="G282">
        <v>8.5</v>
      </c>
      <c r="H282">
        <v>75700</v>
      </c>
      <c r="I282" t="s">
        <v>50</v>
      </c>
      <c r="J282">
        <v>6</v>
      </c>
      <c r="K282">
        <v>1234</v>
      </c>
    </row>
    <row r="283" spans="1:11" hidden="1" x14ac:dyDescent="0.25">
      <c r="A283" t="s">
        <v>701</v>
      </c>
      <c r="B283" t="s">
        <v>749</v>
      </c>
      <c r="C283" t="s">
        <v>750</v>
      </c>
      <c r="D283">
        <v>2497</v>
      </c>
      <c r="E283">
        <v>350</v>
      </c>
      <c r="F283">
        <v>285</v>
      </c>
      <c r="G283">
        <v>4.4000000000000004</v>
      </c>
      <c r="H283">
        <v>75400</v>
      </c>
      <c r="I283" t="s">
        <v>18</v>
      </c>
      <c r="J283">
        <v>2</v>
      </c>
      <c r="K283">
        <v>420</v>
      </c>
    </row>
    <row r="284" spans="1:11" hidden="1" x14ac:dyDescent="0.25">
      <c r="A284" t="s">
        <v>1007</v>
      </c>
      <c r="B284" t="s">
        <v>1068</v>
      </c>
      <c r="C284" t="s">
        <v>1036</v>
      </c>
      <c r="D284">
        <v>5327</v>
      </c>
      <c r="E284">
        <v>355</v>
      </c>
      <c r="F284">
        <v>210</v>
      </c>
      <c r="G284">
        <v>7.4</v>
      </c>
      <c r="H284">
        <v>75000</v>
      </c>
      <c r="I284" t="s">
        <v>18</v>
      </c>
      <c r="J284">
        <v>8</v>
      </c>
      <c r="K284">
        <v>519</v>
      </c>
    </row>
    <row r="285" spans="1:11" hidden="1" x14ac:dyDescent="0.25">
      <c r="A285" t="s">
        <v>1007</v>
      </c>
      <c r="B285" t="s">
        <v>1058</v>
      </c>
      <c r="C285" t="s">
        <v>1042</v>
      </c>
      <c r="D285">
        <v>6600</v>
      </c>
      <c r="E285">
        <v>401</v>
      </c>
      <c r="F285">
        <v>170</v>
      </c>
      <c r="G285">
        <v>7.5</v>
      </c>
      <c r="H285">
        <v>75000</v>
      </c>
      <c r="I285" t="s">
        <v>18</v>
      </c>
      <c r="J285">
        <v>5</v>
      </c>
      <c r="K285">
        <v>629</v>
      </c>
    </row>
    <row r="286" spans="1:11" hidden="1" x14ac:dyDescent="0.25">
      <c r="A286" t="s">
        <v>52</v>
      </c>
      <c r="B286" t="s">
        <v>659</v>
      </c>
      <c r="C286" t="s">
        <v>520</v>
      </c>
      <c r="D286">
        <v>2997</v>
      </c>
      <c r="F286">
        <v>250</v>
      </c>
      <c r="G286">
        <v>4.5</v>
      </c>
      <c r="H286">
        <v>75000</v>
      </c>
      <c r="I286" t="s">
        <v>18</v>
      </c>
      <c r="J286">
        <v>5</v>
      </c>
      <c r="K286">
        <v>475</v>
      </c>
    </row>
    <row r="287" spans="1:11" hidden="1" x14ac:dyDescent="0.25">
      <c r="A287" t="s">
        <v>701</v>
      </c>
      <c r="B287" t="s">
        <v>723</v>
      </c>
      <c r="C287" t="s">
        <v>703</v>
      </c>
      <c r="D287">
        <v>2894</v>
      </c>
      <c r="F287">
        <v>259</v>
      </c>
      <c r="G287">
        <v>4.8</v>
      </c>
      <c r="H287">
        <v>75000</v>
      </c>
      <c r="I287" t="s">
        <v>18</v>
      </c>
      <c r="J287">
        <v>5</v>
      </c>
      <c r="K287">
        <v>520</v>
      </c>
    </row>
    <row r="288" spans="1:11" hidden="1" x14ac:dyDescent="0.25">
      <c r="A288" t="s">
        <v>24</v>
      </c>
      <c r="B288" t="s">
        <v>175</v>
      </c>
      <c r="C288" t="s">
        <v>176</v>
      </c>
      <c r="E288">
        <v>402</v>
      </c>
      <c r="F288">
        <v>200</v>
      </c>
      <c r="G288">
        <v>5.5</v>
      </c>
      <c r="H288">
        <v>75000</v>
      </c>
      <c r="I288" t="s">
        <v>132</v>
      </c>
      <c r="J288">
        <v>5</v>
      </c>
      <c r="K288">
        <v>664</v>
      </c>
    </row>
    <row r="289" spans="1:11" hidden="1" x14ac:dyDescent="0.25">
      <c r="A289" t="s">
        <v>1178</v>
      </c>
      <c r="B289" t="s">
        <v>1223</v>
      </c>
      <c r="C289" t="s">
        <v>1224</v>
      </c>
      <c r="E289">
        <v>398</v>
      </c>
      <c r="F289">
        <v>220</v>
      </c>
      <c r="G289">
        <v>5.0999999999999996</v>
      </c>
      <c r="H289">
        <v>75000</v>
      </c>
      <c r="I289" t="s">
        <v>14</v>
      </c>
      <c r="J289">
        <v>5</v>
      </c>
      <c r="K289">
        <v>640</v>
      </c>
    </row>
    <row r="290" spans="1:11" hidden="1" x14ac:dyDescent="0.25">
      <c r="A290" t="s">
        <v>213</v>
      </c>
      <c r="B290" t="s">
        <v>1176</v>
      </c>
      <c r="C290" t="s">
        <v>1177</v>
      </c>
      <c r="D290">
        <v>5100</v>
      </c>
      <c r="E290">
        <v>180</v>
      </c>
      <c r="F290">
        <v>80</v>
      </c>
      <c r="G290">
        <v>22</v>
      </c>
      <c r="H290">
        <v>75000</v>
      </c>
      <c r="I290" t="s">
        <v>50</v>
      </c>
      <c r="J290">
        <v>2</v>
      </c>
      <c r="K290">
        <v>800</v>
      </c>
    </row>
    <row r="291" spans="1:11" hidden="1" x14ac:dyDescent="0.25">
      <c r="A291" t="s">
        <v>1007</v>
      </c>
      <c r="B291" t="s">
        <v>1037</v>
      </c>
      <c r="C291" t="s">
        <v>1036</v>
      </c>
      <c r="D291">
        <v>5327</v>
      </c>
      <c r="E291">
        <v>355</v>
      </c>
      <c r="F291">
        <v>210</v>
      </c>
      <c r="G291">
        <v>7.3</v>
      </c>
      <c r="H291">
        <v>73305</v>
      </c>
      <c r="I291" t="s">
        <v>18</v>
      </c>
      <c r="J291">
        <v>8</v>
      </c>
      <c r="K291">
        <v>519</v>
      </c>
    </row>
    <row r="292" spans="1:11" hidden="1" x14ac:dyDescent="0.25">
      <c r="A292" t="s">
        <v>1007</v>
      </c>
      <c r="B292" t="s">
        <v>1022</v>
      </c>
      <c r="C292" t="s">
        <v>846</v>
      </c>
      <c r="D292">
        <v>6200</v>
      </c>
      <c r="E292">
        <v>420</v>
      </c>
      <c r="F292">
        <v>200</v>
      </c>
      <c r="G292">
        <v>6.8</v>
      </c>
      <c r="H292">
        <v>72800</v>
      </c>
      <c r="I292" t="s">
        <v>18</v>
      </c>
      <c r="J292">
        <v>8</v>
      </c>
      <c r="K292">
        <v>624</v>
      </c>
    </row>
    <row r="293" spans="1:11" hidden="1" x14ac:dyDescent="0.25">
      <c r="A293" t="s">
        <v>1007</v>
      </c>
      <c r="B293" t="s">
        <v>1027</v>
      </c>
      <c r="C293" t="s">
        <v>959</v>
      </c>
      <c r="D293">
        <v>6600</v>
      </c>
      <c r="E293">
        <v>401</v>
      </c>
      <c r="F293">
        <v>175</v>
      </c>
      <c r="G293">
        <v>7.5</v>
      </c>
      <c r="H293">
        <v>72200</v>
      </c>
      <c r="I293" t="s">
        <v>50</v>
      </c>
      <c r="J293">
        <v>6</v>
      </c>
      <c r="K293">
        <v>1234</v>
      </c>
    </row>
    <row r="294" spans="1:11" hidden="1" x14ac:dyDescent="0.25">
      <c r="A294" t="s">
        <v>701</v>
      </c>
      <c r="B294" t="s">
        <v>773</v>
      </c>
      <c r="C294" t="s">
        <v>774</v>
      </c>
      <c r="D294">
        <v>2995</v>
      </c>
      <c r="E294">
        <v>335</v>
      </c>
      <c r="F294">
        <v>245</v>
      </c>
      <c r="G294">
        <v>5.9</v>
      </c>
      <c r="H294">
        <v>72200</v>
      </c>
      <c r="I294" t="s">
        <v>18</v>
      </c>
      <c r="J294">
        <v>5</v>
      </c>
      <c r="K294">
        <v>450</v>
      </c>
    </row>
    <row r="295" spans="1:11" hidden="1" x14ac:dyDescent="0.25">
      <c r="A295" t="s">
        <v>1007</v>
      </c>
      <c r="B295" t="s">
        <v>1043</v>
      </c>
      <c r="C295" t="s">
        <v>1042</v>
      </c>
      <c r="D295">
        <v>6600</v>
      </c>
      <c r="E295">
        <v>401</v>
      </c>
      <c r="F295">
        <v>170</v>
      </c>
      <c r="G295">
        <v>7.7</v>
      </c>
      <c r="H295">
        <v>72000</v>
      </c>
      <c r="I295" t="s">
        <v>18</v>
      </c>
      <c r="J295">
        <v>5</v>
      </c>
      <c r="K295">
        <v>629</v>
      </c>
    </row>
    <row r="296" spans="1:11" hidden="1" x14ac:dyDescent="0.25">
      <c r="A296" t="s">
        <v>939</v>
      </c>
      <c r="B296" t="s">
        <v>1003</v>
      </c>
      <c r="C296" t="s">
        <v>846</v>
      </c>
      <c r="D296">
        <v>6200</v>
      </c>
      <c r="E296">
        <v>420</v>
      </c>
      <c r="F296">
        <v>200</v>
      </c>
      <c r="G296">
        <v>6.8</v>
      </c>
      <c r="H296">
        <v>71600</v>
      </c>
      <c r="I296" t="s">
        <v>18</v>
      </c>
      <c r="J296">
        <v>7</v>
      </c>
      <c r="K296">
        <v>624</v>
      </c>
    </row>
    <row r="297" spans="1:11" hidden="1" x14ac:dyDescent="0.25">
      <c r="A297" t="s">
        <v>1007</v>
      </c>
      <c r="B297" t="s">
        <v>1035</v>
      </c>
      <c r="C297" t="s">
        <v>1036</v>
      </c>
      <c r="D297">
        <v>5327</v>
      </c>
      <c r="E297">
        <v>355</v>
      </c>
      <c r="F297">
        <v>210</v>
      </c>
      <c r="G297">
        <v>7.1</v>
      </c>
      <c r="H297">
        <v>71505</v>
      </c>
      <c r="I297" t="s">
        <v>18</v>
      </c>
      <c r="J297">
        <v>8</v>
      </c>
      <c r="K297">
        <v>519</v>
      </c>
    </row>
    <row r="298" spans="1:11" hidden="1" x14ac:dyDescent="0.25">
      <c r="A298" t="s">
        <v>22</v>
      </c>
      <c r="B298" t="s">
        <v>128</v>
      </c>
      <c r="C298" t="s">
        <v>54</v>
      </c>
      <c r="D298">
        <v>2996</v>
      </c>
      <c r="E298">
        <v>429</v>
      </c>
      <c r="F298">
        <v>250</v>
      </c>
      <c r="G298">
        <v>5.2</v>
      </c>
      <c r="H298">
        <v>71000</v>
      </c>
      <c r="I298" t="s">
        <v>18</v>
      </c>
      <c r="J298">
        <v>5</v>
      </c>
      <c r="K298">
        <v>620</v>
      </c>
    </row>
    <row r="299" spans="1:11" hidden="1" x14ac:dyDescent="0.25">
      <c r="A299" t="s">
        <v>52</v>
      </c>
      <c r="B299" t="s">
        <v>541</v>
      </c>
      <c r="C299" t="s">
        <v>509</v>
      </c>
      <c r="D299">
        <v>5552</v>
      </c>
      <c r="F299">
        <v>210</v>
      </c>
      <c r="G299">
        <v>6.5</v>
      </c>
      <c r="H299">
        <v>70600</v>
      </c>
      <c r="I299" t="s">
        <v>18</v>
      </c>
      <c r="J299">
        <v>7</v>
      </c>
      <c r="K299">
        <v>560</v>
      </c>
    </row>
    <row r="300" spans="1:11" hidden="1" x14ac:dyDescent="0.25">
      <c r="A300" t="s">
        <v>43</v>
      </c>
      <c r="B300" t="s">
        <v>303</v>
      </c>
      <c r="C300" t="s">
        <v>304</v>
      </c>
      <c r="D300">
        <v>4009</v>
      </c>
      <c r="E300">
        <v>134</v>
      </c>
      <c r="F300">
        <v>120</v>
      </c>
      <c r="H300">
        <v>70000</v>
      </c>
      <c r="I300" t="s">
        <v>50</v>
      </c>
      <c r="J300">
        <v>20</v>
      </c>
      <c r="K300">
        <v>500</v>
      </c>
    </row>
    <row r="301" spans="1:11" hidden="1" x14ac:dyDescent="0.25">
      <c r="A301" t="s">
        <v>939</v>
      </c>
      <c r="B301" t="s">
        <v>1006</v>
      </c>
      <c r="C301" t="s">
        <v>846</v>
      </c>
      <c r="D301">
        <v>6200</v>
      </c>
      <c r="E301">
        <v>420</v>
      </c>
      <c r="F301">
        <v>200</v>
      </c>
      <c r="G301">
        <v>6.8</v>
      </c>
      <c r="H301">
        <v>70000</v>
      </c>
      <c r="I301" t="s">
        <v>18</v>
      </c>
      <c r="J301">
        <v>7</v>
      </c>
      <c r="K301">
        <v>624</v>
      </c>
    </row>
    <row r="302" spans="1:11" hidden="1" x14ac:dyDescent="0.25">
      <c r="A302" t="s">
        <v>52</v>
      </c>
      <c r="B302" t="s">
        <v>651</v>
      </c>
      <c r="C302" t="s">
        <v>509</v>
      </c>
      <c r="D302">
        <v>5552</v>
      </c>
      <c r="F302">
        <v>190</v>
      </c>
      <c r="G302">
        <v>6.8</v>
      </c>
      <c r="H302">
        <v>70000</v>
      </c>
      <c r="I302" t="s">
        <v>18</v>
      </c>
      <c r="J302">
        <v>7</v>
      </c>
      <c r="K302">
        <v>560</v>
      </c>
    </row>
    <row r="303" spans="1:11" hidden="1" x14ac:dyDescent="0.25">
      <c r="A303" t="s">
        <v>351</v>
      </c>
      <c r="B303" t="s">
        <v>376</v>
      </c>
      <c r="C303" t="s">
        <v>355</v>
      </c>
      <c r="D303">
        <v>1984</v>
      </c>
      <c r="E303">
        <v>177</v>
      </c>
      <c r="F303">
        <v>180</v>
      </c>
      <c r="G303">
        <v>13</v>
      </c>
      <c r="H303">
        <v>70000</v>
      </c>
      <c r="I303" t="s">
        <v>50</v>
      </c>
      <c r="J303">
        <v>7</v>
      </c>
      <c r="K303">
        <v>340</v>
      </c>
    </row>
    <row r="304" spans="1:11" hidden="1" x14ac:dyDescent="0.25">
      <c r="A304" t="s">
        <v>1007</v>
      </c>
      <c r="B304" t="s">
        <v>1041</v>
      </c>
      <c r="C304" t="s">
        <v>1042</v>
      </c>
      <c r="D304">
        <v>6600</v>
      </c>
      <c r="E304">
        <v>401</v>
      </c>
      <c r="F304">
        <v>170</v>
      </c>
      <c r="G304">
        <v>7.5</v>
      </c>
      <c r="H304">
        <v>70000</v>
      </c>
      <c r="I304" t="s">
        <v>18</v>
      </c>
      <c r="J304">
        <v>5</v>
      </c>
      <c r="K304">
        <v>629</v>
      </c>
    </row>
    <row r="305" spans="1:11" hidden="1" x14ac:dyDescent="0.25">
      <c r="A305" t="s">
        <v>52</v>
      </c>
      <c r="B305" t="s">
        <v>686</v>
      </c>
      <c r="C305" t="s">
        <v>658</v>
      </c>
      <c r="D305">
        <v>4494</v>
      </c>
      <c r="F305">
        <v>210</v>
      </c>
      <c r="G305">
        <v>7.5</v>
      </c>
      <c r="H305">
        <v>70000</v>
      </c>
      <c r="I305" t="s">
        <v>18</v>
      </c>
      <c r="J305">
        <v>5</v>
      </c>
      <c r="K305">
        <v>400</v>
      </c>
    </row>
    <row r="306" spans="1:11" hidden="1" x14ac:dyDescent="0.25">
      <c r="A306" t="s">
        <v>351</v>
      </c>
      <c r="B306" t="s">
        <v>501</v>
      </c>
      <c r="C306" t="s">
        <v>447</v>
      </c>
      <c r="D306">
        <v>3996</v>
      </c>
      <c r="E306">
        <v>325</v>
      </c>
      <c r="F306">
        <v>210</v>
      </c>
      <c r="G306">
        <v>7.4</v>
      </c>
      <c r="H306">
        <v>70000</v>
      </c>
      <c r="I306" t="s">
        <v>50</v>
      </c>
      <c r="J306">
        <v>5</v>
      </c>
      <c r="K306">
        <v>580</v>
      </c>
    </row>
    <row r="307" spans="1:11" hidden="1" x14ac:dyDescent="0.25">
      <c r="A307" t="s">
        <v>351</v>
      </c>
      <c r="B307" t="s">
        <v>446</v>
      </c>
      <c r="C307" t="s">
        <v>447</v>
      </c>
      <c r="D307">
        <v>3956</v>
      </c>
      <c r="E307">
        <v>421</v>
      </c>
      <c r="F307">
        <v>250</v>
      </c>
      <c r="G307">
        <v>4.9000000000000004</v>
      </c>
      <c r="H307">
        <v>70000</v>
      </c>
      <c r="I307" t="s">
        <v>18</v>
      </c>
      <c r="J307">
        <v>5</v>
      </c>
      <c r="K307">
        <v>770</v>
      </c>
    </row>
    <row r="308" spans="1:11" hidden="1" x14ac:dyDescent="0.25">
      <c r="A308" t="s">
        <v>19</v>
      </c>
      <c r="B308" t="s">
        <v>1358</v>
      </c>
      <c r="C308" t="s">
        <v>1351</v>
      </c>
      <c r="D308">
        <v>3500</v>
      </c>
      <c r="E308">
        <v>450</v>
      </c>
      <c r="F308">
        <v>200</v>
      </c>
      <c r="G308">
        <v>5</v>
      </c>
      <c r="H308">
        <v>70000</v>
      </c>
      <c r="I308" t="s">
        <v>18</v>
      </c>
      <c r="J308">
        <v>5</v>
      </c>
      <c r="K308">
        <v>691</v>
      </c>
    </row>
    <row r="309" spans="1:11" hidden="1" x14ac:dyDescent="0.25">
      <c r="A309" t="s">
        <v>52</v>
      </c>
      <c r="B309" t="s">
        <v>628</v>
      </c>
      <c r="C309" t="s">
        <v>520</v>
      </c>
      <c r="D309">
        <v>2997</v>
      </c>
      <c r="F309">
        <v>250</v>
      </c>
      <c r="G309">
        <v>4.5</v>
      </c>
      <c r="H309">
        <v>70000</v>
      </c>
      <c r="I309" t="s">
        <v>18</v>
      </c>
      <c r="J309">
        <v>5</v>
      </c>
      <c r="K309">
        <v>475</v>
      </c>
    </row>
    <row r="310" spans="1:11" hidden="1" x14ac:dyDescent="0.25">
      <c r="A310" t="s">
        <v>22</v>
      </c>
      <c r="B310" t="s">
        <v>118</v>
      </c>
      <c r="C310" t="s">
        <v>54</v>
      </c>
      <c r="D310">
        <v>2996</v>
      </c>
      <c r="E310">
        <v>362</v>
      </c>
      <c r="F310">
        <v>250</v>
      </c>
      <c r="G310">
        <v>5.2</v>
      </c>
      <c r="H310">
        <v>70000</v>
      </c>
      <c r="I310" t="s">
        <v>18</v>
      </c>
      <c r="J310">
        <v>5</v>
      </c>
      <c r="K310">
        <v>500</v>
      </c>
    </row>
    <row r="311" spans="1:11" hidden="1" x14ac:dyDescent="0.25">
      <c r="A311" t="s">
        <v>351</v>
      </c>
      <c r="B311" t="s">
        <v>390</v>
      </c>
      <c r="C311" t="s">
        <v>391</v>
      </c>
      <c r="D311">
        <v>2995</v>
      </c>
      <c r="E311">
        <v>462</v>
      </c>
      <c r="F311">
        <v>250</v>
      </c>
      <c r="G311">
        <v>5.0999999999999996</v>
      </c>
      <c r="H311">
        <v>70000</v>
      </c>
      <c r="I311" t="s">
        <v>65</v>
      </c>
      <c r="J311">
        <v>5</v>
      </c>
      <c r="K311">
        <v>700</v>
      </c>
    </row>
    <row r="312" spans="1:11" hidden="1" x14ac:dyDescent="0.25">
      <c r="A312" t="s">
        <v>52</v>
      </c>
      <c r="B312" t="s">
        <v>660</v>
      </c>
      <c r="C312" t="s">
        <v>539</v>
      </c>
      <c r="F312">
        <v>200</v>
      </c>
      <c r="G312">
        <v>5.0999999999999996</v>
      </c>
      <c r="H312">
        <v>70000</v>
      </c>
      <c r="I312" t="s">
        <v>132</v>
      </c>
      <c r="J312">
        <v>5</v>
      </c>
      <c r="K312">
        <v>600</v>
      </c>
    </row>
    <row r="313" spans="1:11" hidden="1" x14ac:dyDescent="0.25">
      <c r="A313" t="s">
        <v>1178</v>
      </c>
      <c r="B313" t="s">
        <v>1187</v>
      </c>
      <c r="C313" t="s">
        <v>1188</v>
      </c>
      <c r="E313">
        <v>400</v>
      </c>
      <c r="F313">
        <v>200</v>
      </c>
      <c r="G313">
        <v>4.8</v>
      </c>
      <c r="H313">
        <v>70000</v>
      </c>
      <c r="I313" t="s">
        <v>132</v>
      </c>
      <c r="J313">
        <v>5</v>
      </c>
      <c r="K313">
        <v>696</v>
      </c>
    </row>
    <row r="314" spans="1:11" hidden="1" x14ac:dyDescent="0.25">
      <c r="A314" t="s">
        <v>19</v>
      </c>
      <c r="B314" t="s">
        <v>1355</v>
      </c>
      <c r="C314" t="s">
        <v>520</v>
      </c>
      <c r="D314">
        <v>3000</v>
      </c>
      <c r="E314">
        <v>400</v>
      </c>
      <c r="F314">
        <v>220</v>
      </c>
      <c r="G314">
        <v>5.5</v>
      </c>
      <c r="H314">
        <v>70000</v>
      </c>
      <c r="I314" t="s">
        <v>18</v>
      </c>
      <c r="J314">
        <v>4</v>
      </c>
      <c r="K314">
        <v>583</v>
      </c>
    </row>
    <row r="315" spans="1:11" hidden="1" x14ac:dyDescent="0.25">
      <c r="A315" t="s">
        <v>52</v>
      </c>
      <c r="B315" t="s">
        <v>599</v>
      </c>
      <c r="C315" t="s">
        <v>600</v>
      </c>
      <c r="D315">
        <v>2568</v>
      </c>
      <c r="F315">
        <v>250</v>
      </c>
      <c r="G315">
        <v>5.6</v>
      </c>
      <c r="H315">
        <v>70000</v>
      </c>
      <c r="I315" t="s">
        <v>18</v>
      </c>
      <c r="J315">
        <v>4</v>
      </c>
      <c r="K315">
        <v>392</v>
      </c>
    </row>
    <row r="316" spans="1:11" hidden="1" x14ac:dyDescent="0.25">
      <c r="A316" t="s">
        <v>1178</v>
      </c>
      <c r="B316" t="s">
        <v>1179</v>
      </c>
      <c r="C316" t="s">
        <v>1180</v>
      </c>
      <c r="E316">
        <v>335</v>
      </c>
      <c r="F316">
        <v>260</v>
      </c>
      <c r="G316">
        <v>5.0999999999999996</v>
      </c>
      <c r="H316">
        <v>70000</v>
      </c>
      <c r="I316" t="s">
        <v>18</v>
      </c>
      <c r="J316">
        <v>2</v>
      </c>
      <c r="K316">
        <v>450</v>
      </c>
    </row>
    <row r="317" spans="1:11" hidden="1" x14ac:dyDescent="0.25">
      <c r="A317" t="s">
        <v>1178</v>
      </c>
      <c r="B317" t="s">
        <v>1205</v>
      </c>
      <c r="C317" t="s">
        <v>1190</v>
      </c>
      <c r="E317">
        <v>300</v>
      </c>
      <c r="F317">
        <v>250</v>
      </c>
      <c r="G317">
        <v>5.0999999999999996</v>
      </c>
      <c r="H317">
        <v>70000</v>
      </c>
      <c r="I317" t="s">
        <v>18</v>
      </c>
      <c r="J317">
        <v>2</v>
      </c>
      <c r="K317">
        <v>400</v>
      </c>
    </row>
    <row r="318" spans="1:11" hidden="1" x14ac:dyDescent="0.25">
      <c r="A318" t="s">
        <v>871</v>
      </c>
      <c r="B318" t="s">
        <v>883</v>
      </c>
      <c r="C318" t="s">
        <v>874</v>
      </c>
      <c r="E318">
        <v>800</v>
      </c>
      <c r="F318">
        <v>209</v>
      </c>
      <c r="G318">
        <v>2.9</v>
      </c>
      <c r="H318">
        <v>69900</v>
      </c>
      <c r="I318" t="s">
        <v>132</v>
      </c>
      <c r="J318">
        <v>6</v>
      </c>
      <c r="K318">
        <v>1355</v>
      </c>
    </row>
    <row r="319" spans="1:11" hidden="1" x14ac:dyDescent="0.25">
      <c r="A319" t="s">
        <v>701</v>
      </c>
      <c r="B319" t="s">
        <v>755</v>
      </c>
      <c r="C319" t="s">
        <v>754</v>
      </c>
      <c r="D319">
        <v>1988</v>
      </c>
      <c r="E319">
        <v>300</v>
      </c>
      <c r="F319">
        <v>275</v>
      </c>
      <c r="G319">
        <v>4.7</v>
      </c>
      <c r="H319">
        <v>69600</v>
      </c>
      <c r="I319" t="s">
        <v>18</v>
      </c>
      <c r="J319">
        <v>2</v>
      </c>
      <c r="K319">
        <v>380</v>
      </c>
    </row>
    <row r="320" spans="1:11" x14ac:dyDescent="0.25">
      <c r="A320" t="s">
        <v>27</v>
      </c>
      <c r="B320" t="s">
        <v>140</v>
      </c>
      <c r="C320" t="s">
        <v>136</v>
      </c>
      <c r="D320">
        <v>2993</v>
      </c>
      <c r="E320">
        <v>503</v>
      </c>
      <c r="F320">
        <v>285</v>
      </c>
      <c r="G320">
        <v>4.0999999999999996</v>
      </c>
      <c r="H320">
        <v>69000</v>
      </c>
      <c r="I320" t="s">
        <v>18</v>
      </c>
      <c r="J320">
        <v>5</v>
      </c>
      <c r="K320">
        <v>650</v>
      </c>
    </row>
    <row r="321" spans="1:11" hidden="1" x14ac:dyDescent="0.25">
      <c r="A321" t="s">
        <v>701</v>
      </c>
      <c r="B321" t="s">
        <v>782</v>
      </c>
      <c r="C321" t="s">
        <v>783</v>
      </c>
      <c r="D321">
        <v>2967</v>
      </c>
      <c r="E321">
        <v>262</v>
      </c>
      <c r="F321">
        <v>221</v>
      </c>
      <c r="G321">
        <v>7.3</v>
      </c>
      <c r="H321">
        <v>69000</v>
      </c>
      <c r="I321" t="s">
        <v>50</v>
      </c>
      <c r="J321">
        <v>5</v>
      </c>
      <c r="K321">
        <v>580</v>
      </c>
    </row>
    <row r="322" spans="1:11" hidden="1" x14ac:dyDescent="0.25">
      <c r="A322" t="s">
        <v>24</v>
      </c>
      <c r="B322" t="s">
        <v>170</v>
      </c>
      <c r="C322" t="s">
        <v>54</v>
      </c>
      <c r="D322">
        <v>2995</v>
      </c>
      <c r="E322">
        <v>335</v>
      </c>
      <c r="F322">
        <v>250</v>
      </c>
      <c r="G322">
        <v>5.7</v>
      </c>
      <c r="H322">
        <v>68000</v>
      </c>
      <c r="I322" t="s">
        <v>18</v>
      </c>
      <c r="J322">
        <v>5</v>
      </c>
      <c r="K322">
        <v>600</v>
      </c>
    </row>
    <row r="323" spans="1:11" hidden="1" x14ac:dyDescent="0.25">
      <c r="A323" t="s">
        <v>52</v>
      </c>
      <c r="B323" t="s">
        <v>631</v>
      </c>
      <c r="C323" t="s">
        <v>539</v>
      </c>
      <c r="F323">
        <v>200</v>
      </c>
      <c r="G323">
        <v>5.0999999999999996</v>
      </c>
      <c r="H323">
        <v>68000</v>
      </c>
      <c r="I323" t="s">
        <v>132</v>
      </c>
      <c r="J323">
        <v>5</v>
      </c>
      <c r="K323">
        <v>600</v>
      </c>
    </row>
    <row r="324" spans="1:11" hidden="1" x14ac:dyDescent="0.25">
      <c r="A324" t="s">
        <v>939</v>
      </c>
      <c r="B324" t="s">
        <v>965</v>
      </c>
      <c r="C324" t="s">
        <v>928</v>
      </c>
      <c r="D324">
        <v>6200</v>
      </c>
      <c r="E324">
        <v>650</v>
      </c>
      <c r="F324">
        <v>318</v>
      </c>
      <c r="G324">
        <v>3.5</v>
      </c>
      <c r="H324">
        <v>67300</v>
      </c>
      <c r="I324" t="s">
        <v>18</v>
      </c>
      <c r="J324">
        <v>4</v>
      </c>
      <c r="K324">
        <v>881</v>
      </c>
    </row>
    <row r="325" spans="1:11" hidden="1" x14ac:dyDescent="0.25">
      <c r="A325" t="s">
        <v>52</v>
      </c>
      <c r="B325" t="s">
        <v>601</v>
      </c>
      <c r="C325" t="s">
        <v>539</v>
      </c>
      <c r="F325">
        <v>200</v>
      </c>
      <c r="G325">
        <v>5.0999999999999996</v>
      </c>
      <c r="H325">
        <v>67000</v>
      </c>
      <c r="I325" t="s">
        <v>132</v>
      </c>
      <c r="J325">
        <v>5</v>
      </c>
      <c r="K325">
        <v>600</v>
      </c>
    </row>
    <row r="326" spans="1:11" hidden="1" x14ac:dyDescent="0.25">
      <c r="A326" t="s">
        <v>1007</v>
      </c>
      <c r="B326" t="s">
        <v>1023</v>
      </c>
      <c r="C326" t="s">
        <v>846</v>
      </c>
      <c r="D326">
        <v>6200</v>
      </c>
      <c r="E326">
        <v>420</v>
      </c>
      <c r="F326">
        <v>190</v>
      </c>
      <c r="G326">
        <v>6.7</v>
      </c>
      <c r="H326">
        <v>66800</v>
      </c>
      <c r="I326" t="s">
        <v>18</v>
      </c>
      <c r="J326">
        <v>6</v>
      </c>
      <c r="K326">
        <v>624</v>
      </c>
    </row>
    <row r="327" spans="1:11" hidden="1" x14ac:dyDescent="0.25">
      <c r="A327" t="s">
        <v>939</v>
      </c>
      <c r="B327" t="s">
        <v>1002</v>
      </c>
      <c r="C327" t="s">
        <v>952</v>
      </c>
      <c r="D327">
        <v>5300</v>
      </c>
      <c r="E327">
        <v>355</v>
      </c>
      <c r="F327">
        <v>180</v>
      </c>
      <c r="G327">
        <v>7.6</v>
      </c>
      <c r="H327">
        <v>66700</v>
      </c>
      <c r="I327" t="s">
        <v>18</v>
      </c>
      <c r="J327">
        <v>7</v>
      </c>
      <c r="K327">
        <v>519</v>
      </c>
    </row>
    <row r="328" spans="1:11" hidden="1" x14ac:dyDescent="0.25">
      <c r="A328" t="s">
        <v>886</v>
      </c>
      <c r="B328" t="s">
        <v>915</v>
      </c>
      <c r="C328" t="s">
        <v>916</v>
      </c>
      <c r="D328">
        <v>5700</v>
      </c>
      <c r="E328">
        <v>357</v>
      </c>
      <c r="F328">
        <v>190</v>
      </c>
      <c r="G328">
        <v>7.3</v>
      </c>
      <c r="H328">
        <v>66575</v>
      </c>
      <c r="I328" t="s">
        <v>18</v>
      </c>
      <c r="J328">
        <v>5</v>
      </c>
      <c r="K328">
        <v>529</v>
      </c>
    </row>
    <row r="329" spans="1:11" hidden="1" x14ac:dyDescent="0.25">
      <c r="A329" t="s">
        <v>939</v>
      </c>
      <c r="B329" t="s">
        <v>977</v>
      </c>
      <c r="C329" t="s">
        <v>846</v>
      </c>
      <c r="D329">
        <v>6200</v>
      </c>
      <c r="E329">
        <v>460</v>
      </c>
      <c r="F329">
        <v>290</v>
      </c>
      <c r="G329">
        <v>3.9</v>
      </c>
      <c r="H329">
        <v>65900</v>
      </c>
      <c r="I329" t="s">
        <v>18</v>
      </c>
      <c r="J329">
        <v>2</v>
      </c>
      <c r="K329">
        <v>630</v>
      </c>
    </row>
    <row r="330" spans="1:11" hidden="1" x14ac:dyDescent="0.25">
      <c r="A330" t="s">
        <v>939</v>
      </c>
      <c r="B330" t="s">
        <v>947</v>
      </c>
      <c r="C330" t="s">
        <v>846</v>
      </c>
      <c r="D330">
        <v>6200</v>
      </c>
      <c r="E330">
        <v>495</v>
      </c>
      <c r="F330">
        <v>312</v>
      </c>
      <c r="G330">
        <v>3</v>
      </c>
      <c r="H330">
        <v>65895</v>
      </c>
      <c r="I330" t="s">
        <v>18</v>
      </c>
      <c r="J330">
        <v>2</v>
      </c>
      <c r="K330">
        <v>637</v>
      </c>
    </row>
    <row r="331" spans="1:11" hidden="1" x14ac:dyDescent="0.25">
      <c r="A331" t="s">
        <v>939</v>
      </c>
      <c r="B331" t="s">
        <v>966</v>
      </c>
      <c r="C331" t="s">
        <v>846</v>
      </c>
      <c r="D331">
        <v>6200</v>
      </c>
      <c r="E331">
        <v>495</v>
      </c>
      <c r="F331">
        <v>312</v>
      </c>
      <c r="G331">
        <v>3</v>
      </c>
      <c r="H331">
        <v>65895</v>
      </c>
      <c r="I331" t="s">
        <v>18</v>
      </c>
      <c r="J331">
        <v>2</v>
      </c>
      <c r="K331">
        <v>637</v>
      </c>
    </row>
    <row r="332" spans="1:11" hidden="1" x14ac:dyDescent="0.25">
      <c r="A332" t="s">
        <v>939</v>
      </c>
      <c r="B332" t="s">
        <v>1005</v>
      </c>
      <c r="C332" t="s">
        <v>952</v>
      </c>
      <c r="D332">
        <v>5300</v>
      </c>
      <c r="E332">
        <v>355</v>
      </c>
      <c r="F332">
        <v>180</v>
      </c>
      <c r="G332">
        <v>7.5</v>
      </c>
      <c r="H332">
        <v>65500</v>
      </c>
      <c r="I332" t="s">
        <v>18</v>
      </c>
      <c r="J332">
        <v>8</v>
      </c>
      <c r="K332">
        <v>519</v>
      </c>
    </row>
    <row r="333" spans="1:11" hidden="1" x14ac:dyDescent="0.25">
      <c r="A333" t="s">
        <v>701</v>
      </c>
      <c r="B333" t="s">
        <v>753</v>
      </c>
      <c r="C333" t="s">
        <v>754</v>
      </c>
      <c r="D333">
        <v>1988</v>
      </c>
      <c r="E333">
        <v>300</v>
      </c>
      <c r="F333">
        <v>275</v>
      </c>
      <c r="G333">
        <v>4.9000000000000004</v>
      </c>
      <c r="H333">
        <v>65500</v>
      </c>
      <c r="I333" t="s">
        <v>18</v>
      </c>
      <c r="J333">
        <v>2</v>
      </c>
      <c r="K333">
        <v>380</v>
      </c>
    </row>
    <row r="334" spans="1:11" hidden="1" x14ac:dyDescent="0.25">
      <c r="A334" t="s">
        <v>52</v>
      </c>
      <c r="B334" t="s">
        <v>554</v>
      </c>
      <c r="C334" t="s">
        <v>509</v>
      </c>
      <c r="D334">
        <v>5552</v>
      </c>
      <c r="F334">
        <v>210</v>
      </c>
      <c r="G334">
        <v>6.5</v>
      </c>
      <c r="H334">
        <v>65300</v>
      </c>
      <c r="I334" t="s">
        <v>18</v>
      </c>
      <c r="J334">
        <v>8</v>
      </c>
      <c r="K334">
        <v>560</v>
      </c>
    </row>
    <row r="335" spans="1:11" hidden="1" x14ac:dyDescent="0.25">
      <c r="A335" t="s">
        <v>1007</v>
      </c>
      <c r="B335" t="s">
        <v>1060</v>
      </c>
      <c r="C335" t="s">
        <v>1036</v>
      </c>
      <c r="D335">
        <v>5327</v>
      </c>
      <c r="E335">
        <v>355</v>
      </c>
      <c r="F335">
        <v>210</v>
      </c>
      <c r="G335">
        <v>7.3</v>
      </c>
      <c r="H335">
        <v>65000</v>
      </c>
      <c r="I335" t="s">
        <v>18</v>
      </c>
      <c r="J335">
        <v>8</v>
      </c>
      <c r="K335">
        <v>519</v>
      </c>
    </row>
    <row r="336" spans="1:11" hidden="1" x14ac:dyDescent="0.25">
      <c r="A336" t="s">
        <v>1007</v>
      </c>
      <c r="B336" t="s">
        <v>1056</v>
      </c>
      <c r="C336" t="s">
        <v>1048</v>
      </c>
      <c r="D336">
        <v>6162</v>
      </c>
      <c r="E336">
        <v>420</v>
      </c>
      <c r="F336">
        <v>200</v>
      </c>
      <c r="G336">
        <v>5.8</v>
      </c>
      <c r="H336">
        <v>65000</v>
      </c>
      <c r="I336" t="s">
        <v>18</v>
      </c>
      <c r="J336">
        <v>5</v>
      </c>
      <c r="K336">
        <v>624</v>
      </c>
    </row>
    <row r="337" spans="1:11" hidden="1" x14ac:dyDescent="0.25">
      <c r="A337" t="s">
        <v>701</v>
      </c>
      <c r="B337" t="s">
        <v>725</v>
      </c>
      <c r="C337" t="s">
        <v>437</v>
      </c>
      <c r="D337">
        <v>1984</v>
      </c>
      <c r="F337">
        <v>232</v>
      </c>
      <c r="G337">
        <v>6.2</v>
      </c>
      <c r="H337">
        <v>65000</v>
      </c>
      <c r="I337" t="s">
        <v>18</v>
      </c>
      <c r="J337">
        <v>5</v>
      </c>
      <c r="K337">
        <v>400</v>
      </c>
    </row>
    <row r="338" spans="1:11" hidden="1" x14ac:dyDescent="0.25">
      <c r="A338" t="s">
        <v>218</v>
      </c>
      <c r="B338" t="s">
        <v>1126</v>
      </c>
      <c r="C338" t="s">
        <v>330</v>
      </c>
      <c r="E338">
        <v>577</v>
      </c>
      <c r="F338">
        <v>260</v>
      </c>
      <c r="G338">
        <v>3.5</v>
      </c>
      <c r="H338">
        <v>65000</v>
      </c>
      <c r="I338" t="s">
        <v>132</v>
      </c>
      <c r="J338">
        <v>5</v>
      </c>
      <c r="K338">
        <v>740</v>
      </c>
    </row>
    <row r="339" spans="1:11" hidden="1" x14ac:dyDescent="0.25">
      <c r="A339" t="s">
        <v>1178</v>
      </c>
      <c r="B339" t="s">
        <v>1192</v>
      </c>
      <c r="C339" t="s">
        <v>1190</v>
      </c>
      <c r="E339">
        <v>340</v>
      </c>
      <c r="F339">
        <v>250</v>
      </c>
      <c r="G339">
        <v>5.4</v>
      </c>
      <c r="H339">
        <v>65000</v>
      </c>
      <c r="I339" t="s">
        <v>18</v>
      </c>
      <c r="J339">
        <v>5</v>
      </c>
      <c r="K339">
        <v>480</v>
      </c>
    </row>
    <row r="340" spans="1:11" hidden="1" x14ac:dyDescent="0.25">
      <c r="A340" t="s">
        <v>1178</v>
      </c>
      <c r="B340" t="s">
        <v>1199</v>
      </c>
      <c r="C340" t="s">
        <v>1190</v>
      </c>
      <c r="E340">
        <v>340</v>
      </c>
      <c r="F340">
        <v>250</v>
      </c>
      <c r="G340">
        <v>5.4</v>
      </c>
      <c r="H340">
        <v>65000</v>
      </c>
      <c r="I340" t="s">
        <v>18</v>
      </c>
      <c r="J340">
        <v>5</v>
      </c>
      <c r="K340">
        <v>480</v>
      </c>
    </row>
    <row r="341" spans="1:11" hidden="1" x14ac:dyDescent="0.25">
      <c r="A341" t="s">
        <v>1178</v>
      </c>
      <c r="B341" t="s">
        <v>1213</v>
      </c>
      <c r="C341" t="s">
        <v>1190</v>
      </c>
      <c r="E341">
        <v>340</v>
      </c>
      <c r="F341">
        <v>250</v>
      </c>
      <c r="G341">
        <v>5.4</v>
      </c>
      <c r="H341">
        <v>65000</v>
      </c>
      <c r="I341" t="s">
        <v>18</v>
      </c>
      <c r="J341">
        <v>5</v>
      </c>
      <c r="K341">
        <v>480</v>
      </c>
    </row>
    <row r="342" spans="1:11" hidden="1" x14ac:dyDescent="0.25">
      <c r="A342" t="s">
        <v>1178</v>
      </c>
      <c r="B342" t="s">
        <v>1220</v>
      </c>
      <c r="C342" t="s">
        <v>1190</v>
      </c>
      <c r="E342">
        <v>340</v>
      </c>
      <c r="F342">
        <v>250</v>
      </c>
      <c r="G342">
        <v>5.4</v>
      </c>
      <c r="H342">
        <v>65000</v>
      </c>
      <c r="I342" t="s">
        <v>18</v>
      </c>
      <c r="J342">
        <v>5</v>
      </c>
      <c r="K342">
        <v>480</v>
      </c>
    </row>
    <row r="343" spans="1:11" hidden="1" x14ac:dyDescent="0.25">
      <c r="A343" t="s">
        <v>19</v>
      </c>
      <c r="B343" t="s">
        <v>1344</v>
      </c>
      <c r="C343" t="s">
        <v>330</v>
      </c>
      <c r="E343">
        <v>452</v>
      </c>
      <c r="F343">
        <v>180</v>
      </c>
      <c r="G343">
        <v>4.5</v>
      </c>
      <c r="H343">
        <v>65000</v>
      </c>
      <c r="I343" t="s">
        <v>132</v>
      </c>
      <c r="J343">
        <v>5</v>
      </c>
      <c r="K343">
        <v>1051</v>
      </c>
    </row>
    <row r="344" spans="1:11" hidden="1" x14ac:dyDescent="0.25">
      <c r="A344" t="s">
        <v>787</v>
      </c>
      <c r="B344" t="s">
        <v>937</v>
      </c>
      <c r="C344" t="s">
        <v>539</v>
      </c>
      <c r="E344">
        <v>500</v>
      </c>
      <c r="F344">
        <v>210</v>
      </c>
      <c r="G344">
        <v>4.5</v>
      </c>
      <c r="H344">
        <v>64990</v>
      </c>
      <c r="I344" t="s">
        <v>132</v>
      </c>
      <c r="J344">
        <v>5</v>
      </c>
      <c r="K344">
        <v>620</v>
      </c>
    </row>
    <row r="345" spans="1:11" hidden="1" x14ac:dyDescent="0.25">
      <c r="A345" t="s">
        <v>19</v>
      </c>
      <c r="B345" t="s">
        <v>1377</v>
      </c>
      <c r="C345" t="s">
        <v>1260</v>
      </c>
      <c r="D345">
        <v>3500</v>
      </c>
      <c r="E345">
        <v>400</v>
      </c>
      <c r="F345">
        <v>180</v>
      </c>
      <c r="G345">
        <v>6.5</v>
      </c>
      <c r="H345">
        <v>64695</v>
      </c>
      <c r="I345" t="s">
        <v>18</v>
      </c>
      <c r="J345">
        <v>5</v>
      </c>
      <c r="K345">
        <v>678</v>
      </c>
    </row>
    <row r="346" spans="1:11" hidden="1" x14ac:dyDescent="0.25">
      <c r="A346" t="s">
        <v>19</v>
      </c>
      <c r="B346" t="s">
        <v>1372</v>
      </c>
      <c r="C346" t="s">
        <v>1371</v>
      </c>
      <c r="D346">
        <v>6700</v>
      </c>
      <c r="E346">
        <v>475</v>
      </c>
      <c r="F346">
        <v>165</v>
      </c>
      <c r="G346">
        <v>8.8000000000000007</v>
      </c>
      <c r="H346">
        <v>64540</v>
      </c>
      <c r="I346" t="s">
        <v>50</v>
      </c>
      <c r="J346">
        <v>6</v>
      </c>
      <c r="K346">
        <v>1424</v>
      </c>
    </row>
    <row r="347" spans="1:11" hidden="1" x14ac:dyDescent="0.25">
      <c r="A347" t="s">
        <v>939</v>
      </c>
      <c r="B347" t="s">
        <v>998</v>
      </c>
      <c r="C347" t="s">
        <v>952</v>
      </c>
      <c r="D347">
        <v>5300</v>
      </c>
      <c r="E347">
        <v>355</v>
      </c>
      <c r="F347">
        <v>180</v>
      </c>
      <c r="G347">
        <v>5.0999999999999996</v>
      </c>
      <c r="H347">
        <v>64400</v>
      </c>
      <c r="I347" t="s">
        <v>18</v>
      </c>
      <c r="J347">
        <v>8</v>
      </c>
      <c r="K347">
        <v>519</v>
      </c>
    </row>
    <row r="348" spans="1:11" hidden="1" x14ac:dyDescent="0.25">
      <c r="A348" t="s">
        <v>939</v>
      </c>
      <c r="B348" t="s">
        <v>997</v>
      </c>
      <c r="C348" t="s">
        <v>952</v>
      </c>
      <c r="D348">
        <v>5300</v>
      </c>
      <c r="E348">
        <v>355</v>
      </c>
      <c r="F348">
        <v>180</v>
      </c>
      <c r="G348">
        <v>7.4</v>
      </c>
      <c r="H348">
        <v>64100</v>
      </c>
      <c r="I348" t="s">
        <v>18</v>
      </c>
      <c r="J348">
        <v>7</v>
      </c>
      <c r="K348">
        <v>519</v>
      </c>
    </row>
    <row r="349" spans="1:11" hidden="1" x14ac:dyDescent="0.25">
      <c r="A349" t="s">
        <v>24</v>
      </c>
      <c r="B349" t="s">
        <v>164</v>
      </c>
      <c r="C349" t="s">
        <v>54</v>
      </c>
      <c r="D349">
        <v>2995</v>
      </c>
      <c r="E349">
        <v>349</v>
      </c>
      <c r="F349">
        <v>250</v>
      </c>
      <c r="G349">
        <v>4.8</v>
      </c>
      <c r="H349">
        <v>64000</v>
      </c>
      <c r="I349" t="s">
        <v>18</v>
      </c>
      <c r="J349">
        <v>4</v>
      </c>
      <c r="K349">
        <v>500</v>
      </c>
    </row>
    <row r="350" spans="1:11" hidden="1" x14ac:dyDescent="0.25">
      <c r="A350" t="s">
        <v>886</v>
      </c>
      <c r="B350" t="s">
        <v>900</v>
      </c>
      <c r="C350" t="s">
        <v>901</v>
      </c>
      <c r="D350">
        <v>5700</v>
      </c>
      <c r="E350">
        <v>392</v>
      </c>
      <c r="F350">
        <v>190</v>
      </c>
      <c r="G350">
        <v>7.4</v>
      </c>
      <c r="H350">
        <v>63595</v>
      </c>
      <c r="I350" t="s">
        <v>18</v>
      </c>
      <c r="J350">
        <v>8</v>
      </c>
      <c r="K350">
        <v>548</v>
      </c>
    </row>
    <row r="351" spans="1:11" hidden="1" x14ac:dyDescent="0.25">
      <c r="A351" t="s">
        <v>701</v>
      </c>
      <c r="B351" t="s">
        <v>747</v>
      </c>
      <c r="C351" t="s">
        <v>748</v>
      </c>
      <c r="D351">
        <v>1988</v>
      </c>
      <c r="E351">
        <v>300</v>
      </c>
      <c r="F351">
        <v>275</v>
      </c>
      <c r="G351">
        <v>4.9000000000000004</v>
      </c>
      <c r="H351">
        <v>63400</v>
      </c>
      <c r="I351" t="s">
        <v>18</v>
      </c>
      <c r="J351">
        <v>2</v>
      </c>
      <c r="K351">
        <v>380</v>
      </c>
    </row>
    <row r="352" spans="1:11" hidden="1" x14ac:dyDescent="0.25">
      <c r="A352" t="s">
        <v>22</v>
      </c>
      <c r="B352" t="s">
        <v>120</v>
      </c>
      <c r="C352" t="s">
        <v>54</v>
      </c>
      <c r="D352">
        <v>2996</v>
      </c>
      <c r="E352">
        <v>362</v>
      </c>
      <c r="F352">
        <v>250</v>
      </c>
      <c r="G352">
        <v>5.5</v>
      </c>
      <c r="H352">
        <v>63000</v>
      </c>
      <c r="I352" t="s">
        <v>18</v>
      </c>
      <c r="J352">
        <v>5</v>
      </c>
      <c r="K352">
        <v>500</v>
      </c>
    </row>
    <row r="353" spans="1:11" hidden="1" x14ac:dyDescent="0.25">
      <c r="A353" t="s">
        <v>52</v>
      </c>
      <c r="B353" t="s">
        <v>580</v>
      </c>
      <c r="C353" t="s">
        <v>539</v>
      </c>
      <c r="F353">
        <v>200</v>
      </c>
      <c r="G353">
        <v>5.0999999999999996</v>
      </c>
      <c r="H353">
        <v>63000</v>
      </c>
      <c r="I353" t="s">
        <v>132</v>
      </c>
      <c r="J353">
        <v>5</v>
      </c>
      <c r="K353">
        <v>600</v>
      </c>
    </row>
    <row r="354" spans="1:11" hidden="1" x14ac:dyDescent="0.25">
      <c r="A354" t="s">
        <v>19</v>
      </c>
      <c r="B354" t="s">
        <v>1327</v>
      </c>
      <c r="C354" t="s">
        <v>1328</v>
      </c>
      <c r="E354">
        <v>388</v>
      </c>
      <c r="F354">
        <v>180</v>
      </c>
      <c r="G354">
        <v>6.5</v>
      </c>
      <c r="H354">
        <v>62500</v>
      </c>
      <c r="I354" t="s">
        <v>18</v>
      </c>
      <c r="J354">
        <v>8</v>
      </c>
      <c r="K354">
        <v>725</v>
      </c>
    </row>
    <row r="355" spans="1:11" hidden="1" x14ac:dyDescent="0.25">
      <c r="A355" t="s">
        <v>939</v>
      </c>
      <c r="B355" t="s">
        <v>1001</v>
      </c>
      <c r="C355" t="s">
        <v>952</v>
      </c>
      <c r="D355">
        <v>5300</v>
      </c>
      <c r="E355">
        <v>355</v>
      </c>
      <c r="F355">
        <v>180</v>
      </c>
      <c r="G355">
        <v>7.4</v>
      </c>
      <c r="H355">
        <v>62495</v>
      </c>
      <c r="I355" t="s">
        <v>18</v>
      </c>
      <c r="J355">
        <v>8</v>
      </c>
      <c r="K355">
        <v>519</v>
      </c>
    </row>
    <row r="356" spans="1:11" hidden="1" x14ac:dyDescent="0.25">
      <c r="A356" t="s">
        <v>22</v>
      </c>
      <c r="B356" t="s">
        <v>117</v>
      </c>
      <c r="C356" t="s">
        <v>54</v>
      </c>
      <c r="D356">
        <v>2996</v>
      </c>
      <c r="E356">
        <v>362</v>
      </c>
      <c r="F356">
        <v>250</v>
      </c>
      <c r="G356">
        <v>5.2</v>
      </c>
      <c r="H356">
        <v>62000</v>
      </c>
      <c r="I356" t="s">
        <v>18</v>
      </c>
      <c r="J356">
        <v>5</v>
      </c>
      <c r="K356">
        <v>500</v>
      </c>
    </row>
    <row r="357" spans="1:11" hidden="1" x14ac:dyDescent="0.25">
      <c r="A357" t="s">
        <v>24</v>
      </c>
      <c r="B357" t="s">
        <v>165</v>
      </c>
      <c r="C357" t="s">
        <v>54</v>
      </c>
      <c r="D357">
        <v>2995</v>
      </c>
      <c r="E357">
        <v>349</v>
      </c>
      <c r="F357">
        <v>250</v>
      </c>
      <c r="G357">
        <v>5.4</v>
      </c>
      <c r="H357">
        <v>62000</v>
      </c>
      <c r="I357" t="s">
        <v>18</v>
      </c>
      <c r="J357">
        <v>5</v>
      </c>
      <c r="K357">
        <v>500</v>
      </c>
    </row>
    <row r="358" spans="1:11" hidden="1" x14ac:dyDescent="0.25">
      <c r="A358" t="s">
        <v>218</v>
      </c>
      <c r="B358" t="s">
        <v>1150</v>
      </c>
      <c r="C358" t="s">
        <v>330</v>
      </c>
      <c r="E358">
        <v>320</v>
      </c>
      <c r="F358">
        <v>230</v>
      </c>
      <c r="G358">
        <v>5</v>
      </c>
      <c r="H358">
        <v>62000</v>
      </c>
      <c r="I358" t="s">
        <v>132</v>
      </c>
      <c r="J358">
        <v>5</v>
      </c>
      <c r="K358">
        <v>450</v>
      </c>
    </row>
    <row r="359" spans="1:11" hidden="1" x14ac:dyDescent="0.25">
      <c r="A359" t="s">
        <v>1226</v>
      </c>
      <c r="B359" t="s">
        <v>1229</v>
      </c>
      <c r="C359" t="s">
        <v>54</v>
      </c>
      <c r="E359">
        <v>290</v>
      </c>
      <c r="F359">
        <v>250</v>
      </c>
      <c r="G359">
        <v>5.7</v>
      </c>
      <c r="H359">
        <v>62000</v>
      </c>
      <c r="I359" t="s">
        <v>18</v>
      </c>
      <c r="J359">
        <v>5</v>
      </c>
      <c r="K359">
        <v>362</v>
      </c>
    </row>
    <row r="360" spans="1:11" hidden="1" x14ac:dyDescent="0.25">
      <c r="A360" t="s">
        <v>1007</v>
      </c>
      <c r="B360" t="s">
        <v>1064</v>
      </c>
      <c r="C360" t="s">
        <v>1042</v>
      </c>
      <c r="D360">
        <v>6600</v>
      </c>
      <c r="E360">
        <v>401</v>
      </c>
      <c r="F360">
        <v>170</v>
      </c>
      <c r="G360">
        <v>7.8</v>
      </c>
      <c r="H360">
        <v>62000</v>
      </c>
      <c r="I360" t="s">
        <v>18</v>
      </c>
      <c r="J360">
        <v>3</v>
      </c>
      <c r="K360">
        <v>629</v>
      </c>
    </row>
    <row r="361" spans="1:11" hidden="1" x14ac:dyDescent="0.25">
      <c r="A361" t="s">
        <v>52</v>
      </c>
      <c r="B361" t="s">
        <v>582</v>
      </c>
      <c r="C361" t="s">
        <v>583</v>
      </c>
      <c r="D361">
        <v>5026</v>
      </c>
      <c r="F361">
        <v>250</v>
      </c>
      <c r="G361">
        <v>5.6</v>
      </c>
      <c r="H361">
        <v>61750</v>
      </c>
      <c r="I361" t="s">
        <v>18</v>
      </c>
      <c r="J361">
        <v>5</v>
      </c>
      <c r="K361">
        <v>500</v>
      </c>
    </row>
    <row r="362" spans="1:11" hidden="1" x14ac:dyDescent="0.25">
      <c r="A362" t="s">
        <v>19</v>
      </c>
      <c r="B362" t="s">
        <v>1370</v>
      </c>
      <c r="C362" t="s">
        <v>1371</v>
      </c>
      <c r="D362">
        <v>6700</v>
      </c>
      <c r="E362">
        <v>475</v>
      </c>
      <c r="F362">
        <v>165</v>
      </c>
      <c r="G362">
        <v>8.5</v>
      </c>
      <c r="H362">
        <v>61625</v>
      </c>
      <c r="I362" t="s">
        <v>50</v>
      </c>
      <c r="J362">
        <v>6</v>
      </c>
      <c r="K362">
        <v>1424</v>
      </c>
    </row>
    <row r="363" spans="1:11" hidden="1" x14ac:dyDescent="0.25">
      <c r="A363" t="s">
        <v>939</v>
      </c>
      <c r="B363" t="s">
        <v>967</v>
      </c>
      <c r="C363" t="s">
        <v>952</v>
      </c>
      <c r="D363">
        <v>5300</v>
      </c>
      <c r="E363">
        <v>355</v>
      </c>
      <c r="F363">
        <v>180</v>
      </c>
      <c r="G363">
        <v>7</v>
      </c>
      <c r="H363">
        <v>61595</v>
      </c>
      <c r="I363" t="s">
        <v>18</v>
      </c>
      <c r="J363">
        <v>6</v>
      </c>
      <c r="K363">
        <v>519</v>
      </c>
    </row>
    <row r="364" spans="1:11" hidden="1" x14ac:dyDescent="0.25">
      <c r="A364" t="s">
        <v>1007</v>
      </c>
      <c r="B364" t="s">
        <v>1013</v>
      </c>
      <c r="C364" t="s">
        <v>846</v>
      </c>
      <c r="D364">
        <v>6200</v>
      </c>
      <c r="E364">
        <v>420</v>
      </c>
      <c r="F364">
        <v>200</v>
      </c>
      <c r="G364">
        <v>6.9</v>
      </c>
      <c r="H364">
        <v>61100</v>
      </c>
      <c r="I364" t="s">
        <v>18</v>
      </c>
      <c r="J364">
        <v>8</v>
      </c>
      <c r="K364">
        <v>624</v>
      </c>
    </row>
    <row r="365" spans="1:11" hidden="1" x14ac:dyDescent="0.25">
      <c r="A365" t="s">
        <v>787</v>
      </c>
      <c r="B365" t="s">
        <v>931</v>
      </c>
      <c r="C365" t="s">
        <v>932</v>
      </c>
      <c r="D365">
        <v>3600</v>
      </c>
      <c r="E365">
        <v>472</v>
      </c>
      <c r="F365">
        <v>290</v>
      </c>
      <c r="G365">
        <v>3.9</v>
      </c>
      <c r="H365">
        <v>60495</v>
      </c>
      <c r="I365" t="s">
        <v>18</v>
      </c>
      <c r="J365">
        <v>5</v>
      </c>
      <c r="K365">
        <v>603</v>
      </c>
    </row>
    <row r="366" spans="1:11" hidden="1" x14ac:dyDescent="0.25">
      <c r="A366" t="s">
        <v>52</v>
      </c>
      <c r="B366" t="s">
        <v>595</v>
      </c>
      <c r="C366" t="s">
        <v>509</v>
      </c>
      <c r="D366">
        <v>5552</v>
      </c>
      <c r="F366">
        <v>200</v>
      </c>
      <c r="G366">
        <v>6.5</v>
      </c>
      <c r="H366">
        <v>60000</v>
      </c>
      <c r="I366" t="s">
        <v>18</v>
      </c>
      <c r="J366">
        <v>7</v>
      </c>
      <c r="K366">
        <v>560</v>
      </c>
    </row>
    <row r="367" spans="1:11" hidden="1" x14ac:dyDescent="0.25">
      <c r="A367" t="s">
        <v>1007</v>
      </c>
      <c r="B367" t="s">
        <v>1077</v>
      </c>
      <c r="C367" t="s">
        <v>1034</v>
      </c>
      <c r="D367">
        <v>3564</v>
      </c>
      <c r="E367">
        <v>310</v>
      </c>
      <c r="F367">
        <v>210</v>
      </c>
      <c r="G367">
        <v>6.5</v>
      </c>
      <c r="H367">
        <v>60000</v>
      </c>
      <c r="I367" t="s">
        <v>18</v>
      </c>
      <c r="J367">
        <v>7</v>
      </c>
      <c r="K367">
        <v>366</v>
      </c>
    </row>
    <row r="368" spans="1:11" hidden="1" x14ac:dyDescent="0.25">
      <c r="A368" t="s">
        <v>24</v>
      </c>
      <c r="B368" t="s">
        <v>168</v>
      </c>
      <c r="C368" t="s">
        <v>54</v>
      </c>
      <c r="D368">
        <v>2995</v>
      </c>
      <c r="E368">
        <v>335</v>
      </c>
      <c r="F368">
        <v>250</v>
      </c>
      <c r="G368">
        <v>6.3</v>
      </c>
      <c r="H368">
        <v>60000</v>
      </c>
      <c r="I368" t="s">
        <v>18</v>
      </c>
      <c r="J368">
        <v>7</v>
      </c>
      <c r="K368">
        <v>600</v>
      </c>
    </row>
    <row r="369" spans="1:11" hidden="1" x14ac:dyDescent="0.25">
      <c r="A369" t="s">
        <v>213</v>
      </c>
      <c r="B369" t="s">
        <v>214</v>
      </c>
      <c r="C369" t="s">
        <v>136</v>
      </c>
      <c r="D369">
        <v>1969</v>
      </c>
      <c r="E369">
        <v>247</v>
      </c>
      <c r="F369">
        <v>200</v>
      </c>
      <c r="G369">
        <v>6.5</v>
      </c>
      <c r="H369">
        <v>60000</v>
      </c>
      <c r="I369" t="s">
        <v>215</v>
      </c>
      <c r="J369">
        <v>7</v>
      </c>
      <c r="K369">
        <v>400</v>
      </c>
    </row>
    <row r="370" spans="1:11" hidden="1" x14ac:dyDescent="0.25">
      <c r="A370" t="s">
        <v>43</v>
      </c>
      <c r="B370" t="s">
        <v>298</v>
      </c>
      <c r="C370" t="s">
        <v>299</v>
      </c>
      <c r="E370">
        <v>296</v>
      </c>
      <c r="F370">
        <v>180</v>
      </c>
      <c r="G370">
        <v>8.5</v>
      </c>
      <c r="H370">
        <v>60000</v>
      </c>
      <c r="I370" t="s">
        <v>18</v>
      </c>
      <c r="J370">
        <v>7</v>
      </c>
      <c r="K370">
        <v>400</v>
      </c>
    </row>
    <row r="371" spans="1:11" hidden="1" x14ac:dyDescent="0.25">
      <c r="A371" t="s">
        <v>351</v>
      </c>
      <c r="B371" t="s">
        <v>467</v>
      </c>
      <c r="C371" t="s">
        <v>132</v>
      </c>
      <c r="E371">
        <v>204</v>
      </c>
      <c r="F371">
        <v>145</v>
      </c>
      <c r="G371">
        <v>10.199999999999999</v>
      </c>
      <c r="H371">
        <v>60000</v>
      </c>
      <c r="I371" t="s">
        <v>132</v>
      </c>
      <c r="J371">
        <v>7</v>
      </c>
      <c r="K371">
        <v>310</v>
      </c>
    </row>
    <row r="372" spans="1:11" hidden="1" x14ac:dyDescent="0.25">
      <c r="A372" t="s">
        <v>1226</v>
      </c>
      <c r="B372" t="s">
        <v>1230</v>
      </c>
      <c r="C372" t="s">
        <v>54</v>
      </c>
      <c r="E372">
        <v>290</v>
      </c>
      <c r="F372">
        <v>190</v>
      </c>
      <c r="G372">
        <v>6</v>
      </c>
      <c r="H372">
        <v>60000</v>
      </c>
      <c r="I372" t="s">
        <v>18</v>
      </c>
      <c r="J372">
        <v>7</v>
      </c>
      <c r="K372">
        <v>362</v>
      </c>
    </row>
    <row r="373" spans="1:11" hidden="1" x14ac:dyDescent="0.25">
      <c r="A373" t="s">
        <v>52</v>
      </c>
      <c r="B373" t="s">
        <v>687</v>
      </c>
      <c r="C373" t="s">
        <v>688</v>
      </c>
      <c r="D373">
        <v>4130</v>
      </c>
      <c r="F373">
        <v>210</v>
      </c>
      <c r="G373">
        <v>8</v>
      </c>
      <c r="H373">
        <v>60000</v>
      </c>
      <c r="I373" t="s">
        <v>18</v>
      </c>
      <c r="J373">
        <v>5</v>
      </c>
      <c r="K373">
        <v>390</v>
      </c>
    </row>
    <row r="374" spans="1:11" hidden="1" x14ac:dyDescent="0.25">
      <c r="A374" t="s">
        <v>351</v>
      </c>
      <c r="B374" t="s">
        <v>497</v>
      </c>
      <c r="C374" t="s">
        <v>498</v>
      </c>
      <c r="D374">
        <v>2967</v>
      </c>
      <c r="E374">
        <v>286</v>
      </c>
      <c r="F374">
        <v>235</v>
      </c>
      <c r="G374">
        <v>7.5</v>
      </c>
      <c r="H374">
        <v>60000</v>
      </c>
      <c r="I374" t="s">
        <v>18</v>
      </c>
      <c r="J374">
        <v>5</v>
      </c>
      <c r="K374">
        <v>450</v>
      </c>
    </row>
    <row r="375" spans="1:11" hidden="1" x14ac:dyDescent="0.25">
      <c r="A375" t="s">
        <v>52</v>
      </c>
      <c r="B375" t="s">
        <v>665</v>
      </c>
      <c r="C375" t="s">
        <v>588</v>
      </c>
      <c r="D375">
        <v>2960</v>
      </c>
      <c r="F375">
        <v>225</v>
      </c>
      <c r="G375">
        <v>8.5</v>
      </c>
      <c r="H375">
        <v>60000</v>
      </c>
      <c r="I375" t="s">
        <v>18</v>
      </c>
      <c r="J375">
        <v>5</v>
      </c>
      <c r="K375">
        <v>330</v>
      </c>
    </row>
    <row r="376" spans="1:11" hidden="1" x14ac:dyDescent="0.25">
      <c r="A376" t="s">
        <v>701</v>
      </c>
      <c r="B376" t="s">
        <v>722</v>
      </c>
      <c r="C376" t="s">
        <v>437</v>
      </c>
      <c r="D376">
        <v>1984</v>
      </c>
      <c r="F376">
        <v>232</v>
      </c>
      <c r="G376">
        <v>6.2</v>
      </c>
      <c r="H376">
        <v>60000</v>
      </c>
      <c r="I376" t="s">
        <v>18</v>
      </c>
      <c r="J376">
        <v>5</v>
      </c>
      <c r="K376">
        <v>400</v>
      </c>
    </row>
    <row r="377" spans="1:11" hidden="1" x14ac:dyDescent="0.25">
      <c r="A377" t="s">
        <v>213</v>
      </c>
      <c r="B377" t="s">
        <v>217</v>
      </c>
      <c r="C377" t="s">
        <v>136</v>
      </c>
      <c r="D377">
        <v>1969</v>
      </c>
      <c r="E377">
        <v>295</v>
      </c>
      <c r="F377">
        <v>250</v>
      </c>
      <c r="G377">
        <v>5.9</v>
      </c>
      <c r="H377">
        <v>60000</v>
      </c>
      <c r="I377" t="s">
        <v>215</v>
      </c>
      <c r="J377">
        <v>5</v>
      </c>
      <c r="K377">
        <v>400</v>
      </c>
    </row>
    <row r="378" spans="1:11" hidden="1" x14ac:dyDescent="0.25">
      <c r="A378" t="s">
        <v>52</v>
      </c>
      <c r="B378" t="s">
        <v>558</v>
      </c>
      <c r="C378" t="s">
        <v>539</v>
      </c>
      <c r="F378">
        <v>200</v>
      </c>
      <c r="G378">
        <v>5.0999999999999996</v>
      </c>
      <c r="H378">
        <v>60000</v>
      </c>
      <c r="I378" t="s">
        <v>132</v>
      </c>
      <c r="J378">
        <v>5</v>
      </c>
      <c r="K378">
        <v>600</v>
      </c>
    </row>
    <row r="379" spans="1:11" hidden="1" x14ac:dyDescent="0.25">
      <c r="A379" t="s">
        <v>218</v>
      </c>
      <c r="B379" t="s">
        <v>1141</v>
      </c>
      <c r="C379" t="s">
        <v>330</v>
      </c>
      <c r="E379">
        <v>320</v>
      </c>
      <c r="F379">
        <v>230</v>
      </c>
      <c r="G379">
        <v>5</v>
      </c>
      <c r="H379">
        <v>60000</v>
      </c>
      <c r="I379" t="s">
        <v>132</v>
      </c>
      <c r="J379">
        <v>5</v>
      </c>
      <c r="K379">
        <v>450</v>
      </c>
    </row>
    <row r="380" spans="1:11" hidden="1" x14ac:dyDescent="0.25">
      <c r="A380" t="s">
        <v>1178</v>
      </c>
      <c r="B380" t="s">
        <v>1193</v>
      </c>
      <c r="C380" t="s">
        <v>1182</v>
      </c>
      <c r="E380">
        <v>340</v>
      </c>
      <c r="F380">
        <v>250</v>
      </c>
      <c r="G380">
        <v>5.4</v>
      </c>
      <c r="H380">
        <v>60000</v>
      </c>
      <c r="I380" t="s">
        <v>18</v>
      </c>
      <c r="J380">
        <v>5</v>
      </c>
      <c r="K380">
        <v>450</v>
      </c>
    </row>
    <row r="381" spans="1:11" hidden="1" x14ac:dyDescent="0.25">
      <c r="A381" t="s">
        <v>1178</v>
      </c>
      <c r="B381" t="s">
        <v>1207</v>
      </c>
      <c r="C381" t="s">
        <v>1190</v>
      </c>
      <c r="E381">
        <v>250</v>
      </c>
      <c r="F381">
        <v>250</v>
      </c>
      <c r="G381">
        <v>6.5</v>
      </c>
      <c r="H381">
        <v>60000</v>
      </c>
      <c r="I381" t="s">
        <v>18</v>
      </c>
      <c r="J381">
        <v>5</v>
      </c>
      <c r="K381">
        <v>400</v>
      </c>
    </row>
    <row r="382" spans="1:11" hidden="1" x14ac:dyDescent="0.25">
      <c r="A382" t="s">
        <v>1178</v>
      </c>
      <c r="B382" t="s">
        <v>1209</v>
      </c>
      <c r="C382" t="s">
        <v>1182</v>
      </c>
      <c r="E382">
        <v>247</v>
      </c>
      <c r="F382">
        <v>225</v>
      </c>
      <c r="G382">
        <v>6.4</v>
      </c>
      <c r="H382">
        <v>60000</v>
      </c>
      <c r="I382" t="s">
        <v>18</v>
      </c>
      <c r="J382">
        <v>5</v>
      </c>
      <c r="K382">
        <v>365</v>
      </c>
    </row>
    <row r="383" spans="1:11" hidden="1" x14ac:dyDescent="0.25">
      <c r="A383" t="s">
        <v>1178</v>
      </c>
      <c r="B383" t="s">
        <v>1217</v>
      </c>
      <c r="C383" t="s">
        <v>1190</v>
      </c>
      <c r="E383">
        <v>340</v>
      </c>
      <c r="F383">
        <v>250</v>
      </c>
      <c r="G383">
        <v>5.4</v>
      </c>
      <c r="H383">
        <v>60000</v>
      </c>
      <c r="I383" t="s">
        <v>18</v>
      </c>
      <c r="J383">
        <v>5</v>
      </c>
      <c r="K383">
        <v>450</v>
      </c>
    </row>
    <row r="384" spans="1:11" hidden="1" x14ac:dyDescent="0.25">
      <c r="A384" t="s">
        <v>1086</v>
      </c>
      <c r="B384" t="s">
        <v>1295</v>
      </c>
      <c r="C384" t="s">
        <v>1285</v>
      </c>
      <c r="E384">
        <v>360</v>
      </c>
      <c r="F384">
        <v>250</v>
      </c>
      <c r="G384">
        <v>5.2</v>
      </c>
      <c r="H384">
        <v>60000</v>
      </c>
      <c r="I384" t="s">
        <v>65</v>
      </c>
      <c r="J384">
        <v>5</v>
      </c>
      <c r="K384">
        <v>520</v>
      </c>
    </row>
    <row r="385" spans="1:11" hidden="1" x14ac:dyDescent="0.25">
      <c r="A385" t="s">
        <v>19</v>
      </c>
      <c r="B385" t="s">
        <v>1337</v>
      </c>
      <c r="C385" t="s">
        <v>1338</v>
      </c>
      <c r="E385">
        <v>462</v>
      </c>
      <c r="F385">
        <v>180</v>
      </c>
      <c r="H385">
        <v>60000</v>
      </c>
      <c r="I385" t="s">
        <v>50</v>
      </c>
      <c r="J385">
        <v>5</v>
      </c>
      <c r="K385">
        <v>1125</v>
      </c>
    </row>
    <row r="386" spans="1:11" hidden="1" x14ac:dyDescent="0.25">
      <c r="A386" t="s">
        <v>19</v>
      </c>
      <c r="B386" t="s">
        <v>1390</v>
      </c>
      <c r="C386" t="s">
        <v>1383</v>
      </c>
      <c r="D386">
        <v>5000</v>
      </c>
      <c r="E386">
        <v>450</v>
      </c>
      <c r="F386">
        <v>250</v>
      </c>
      <c r="G386">
        <v>4.5</v>
      </c>
      <c r="H386">
        <v>60000</v>
      </c>
      <c r="I386" t="s">
        <v>18</v>
      </c>
      <c r="J386">
        <v>4</v>
      </c>
      <c r="K386">
        <v>570</v>
      </c>
    </row>
    <row r="387" spans="1:11" hidden="1" x14ac:dyDescent="0.25">
      <c r="A387" t="s">
        <v>1007</v>
      </c>
      <c r="B387" t="s">
        <v>1063</v>
      </c>
      <c r="C387" t="s">
        <v>1042</v>
      </c>
      <c r="D387">
        <v>6600</v>
      </c>
      <c r="E387">
        <v>401</v>
      </c>
      <c r="F387">
        <v>170</v>
      </c>
      <c r="G387">
        <v>7.7</v>
      </c>
      <c r="H387">
        <v>60000</v>
      </c>
      <c r="I387" t="s">
        <v>18</v>
      </c>
      <c r="J387">
        <v>3</v>
      </c>
      <c r="K387">
        <v>629</v>
      </c>
    </row>
    <row r="388" spans="1:11" hidden="1" x14ac:dyDescent="0.25">
      <c r="A388" t="s">
        <v>1178</v>
      </c>
      <c r="B388" t="s">
        <v>1225</v>
      </c>
      <c r="C388" t="s">
        <v>1182</v>
      </c>
      <c r="E388">
        <v>300</v>
      </c>
      <c r="F388">
        <v>250</v>
      </c>
      <c r="G388">
        <v>5.5</v>
      </c>
      <c r="H388">
        <v>60000</v>
      </c>
      <c r="I388" t="s">
        <v>18</v>
      </c>
      <c r="J388">
        <v>2</v>
      </c>
      <c r="K388">
        <v>400</v>
      </c>
    </row>
    <row r="389" spans="1:11" hidden="1" x14ac:dyDescent="0.25">
      <c r="A389" t="s">
        <v>351</v>
      </c>
      <c r="B389" t="s">
        <v>378</v>
      </c>
      <c r="C389" t="s">
        <v>132</v>
      </c>
      <c r="E389">
        <v>204</v>
      </c>
      <c r="F389">
        <v>145</v>
      </c>
      <c r="G389">
        <v>10.199999999999999</v>
      </c>
      <c r="H389">
        <v>59995</v>
      </c>
      <c r="I389" t="s">
        <v>132</v>
      </c>
      <c r="J389">
        <v>7</v>
      </c>
      <c r="K389">
        <v>310</v>
      </c>
    </row>
    <row r="390" spans="1:11" hidden="1" x14ac:dyDescent="0.25">
      <c r="A390" t="s">
        <v>787</v>
      </c>
      <c r="B390" t="s">
        <v>936</v>
      </c>
      <c r="C390" t="s">
        <v>926</v>
      </c>
      <c r="E390">
        <v>340</v>
      </c>
      <c r="F390">
        <v>190</v>
      </c>
      <c r="G390">
        <v>5.7</v>
      </c>
      <c r="H390">
        <v>59990</v>
      </c>
      <c r="I390" t="s">
        <v>132</v>
      </c>
      <c r="J390">
        <v>5</v>
      </c>
      <c r="K390">
        <v>440</v>
      </c>
    </row>
    <row r="391" spans="1:11" hidden="1" x14ac:dyDescent="0.25">
      <c r="A391" t="s">
        <v>939</v>
      </c>
      <c r="B391" t="s">
        <v>953</v>
      </c>
      <c r="C391" t="s">
        <v>952</v>
      </c>
      <c r="D391">
        <v>5300</v>
      </c>
      <c r="E391">
        <v>355</v>
      </c>
      <c r="F391">
        <v>190</v>
      </c>
      <c r="G391">
        <v>7.6</v>
      </c>
      <c r="H391">
        <v>59900</v>
      </c>
      <c r="I391" t="s">
        <v>18</v>
      </c>
      <c r="J391">
        <v>8</v>
      </c>
      <c r="K391">
        <v>519</v>
      </c>
    </row>
    <row r="392" spans="1:11" hidden="1" x14ac:dyDescent="0.25">
      <c r="A392" t="s">
        <v>886</v>
      </c>
      <c r="B392" t="s">
        <v>904</v>
      </c>
      <c r="C392" t="s">
        <v>905</v>
      </c>
      <c r="E392">
        <v>375</v>
      </c>
      <c r="F392">
        <v>210</v>
      </c>
      <c r="G392">
        <v>6</v>
      </c>
      <c r="H392">
        <v>59865</v>
      </c>
      <c r="I392" t="s">
        <v>65</v>
      </c>
      <c r="J392">
        <v>5</v>
      </c>
      <c r="K392">
        <v>637</v>
      </c>
    </row>
    <row r="393" spans="1:11" hidden="1" x14ac:dyDescent="0.25">
      <c r="A393" t="s">
        <v>19</v>
      </c>
      <c r="B393" t="s">
        <v>1375</v>
      </c>
      <c r="C393" t="s">
        <v>1376</v>
      </c>
      <c r="D393">
        <v>5200</v>
      </c>
      <c r="E393">
        <v>526</v>
      </c>
      <c r="F393">
        <v>280</v>
      </c>
      <c r="G393">
        <v>4</v>
      </c>
      <c r="H393">
        <v>59140</v>
      </c>
      <c r="I393" t="s">
        <v>18</v>
      </c>
      <c r="J393">
        <v>2</v>
      </c>
      <c r="K393">
        <v>582</v>
      </c>
    </row>
    <row r="394" spans="1:11" hidden="1" x14ac:dyDescent="0.25">
      <c r="A394" t="s">
        <v>24</v>
      </c>
      <c r="B394" t="s">
        <v>166</v>
      </c>
      <c r="C394" t="s">
        <v>54</v>
      </c>
      <c r="D394">
        <v>2995</v>
      </c>
      <c r="E394">
        <v>349</v>
      </c>
      <c r="F394">
        <v>250</v>
      </c>
      <c r="G394">
        <v>4.7</v>
      </c>
      <c r="H394">
        <v>59000</v>
      </c>
      <c r="I394" t="s">
        <v>18</v>
      </c>
      <c r="J394">
        <v>5</v>
      </c>
      <c r="K394">
        <v>500</v>
      </c>
    </row>
    <row r="395" spans="1:11" hidden="1" x14ac:dyDescent="0.25">
      <c r="A395" t="s">
        <v>52</v>
      </c>
      <c r="B395" t="s">
        <v>538</v>
      </c>
      <c r="C395" t="s">
        <v>539</v>
      </c>
      <c r="F395">
        <v>200</v>
      </c>
      <c r="G395">
        <v>5.0999999999999996</v>
      </c>
      <c r="H395">
        <v>58950</v>
      </c>
      <c r="I395" t="s">
        <v>132</v>
      </c>
      <c r="J395">
        <v>5</v>
      </c>
      <c r="K395">
        <v>600</v>
      </c>
    </row>
    <row r="396" spans="1:11" hidden="1" x14ac:dyDescent="0.25">
      <c r="A396" t="s">
        <v>787</v>
      </c>
      <c r="B396" t="s">
        <v>925</v>
      </c>
      <c r="C396" t="s">
        <v>926</v>
      </c>
      <c r="E396">
        <v>340</v>
      </c>
      <c r="F396">
        <v>190</v>
      </c>
      <c r="G396">
        <v>5.7</v>
      </c>
      <c r="H396">
        <v>58590</v>
      </c>
      <c r="I396" t="s">
        <v>132</v>
      </c>
      <c r="J396">
        <v>5</v>
      </c>
      <c r="K396">
        <v>440</v>
      </c>
    </row>
    <row r="397" spans="1:11" hidden="1" x14ac:dyDescent="0.25">
      <c r="A397" t="s">
        <v>43</v>
      </c>
      <c r="B397" t="s">
        <v>290</v>
      </c>
      <c r="C397" t="s">
        <v>291</v>
      </c>
      <c r="D397">
        <v>3346</v>
      </c>
      <c r="E397">
        <v>305</v>
      </c>
      <c r="F397">
        <v>210</v>
      </c>
      <c r="G397">
        <v>6.8</v>
      </c>
      <c r="H397">
        <v>58500</v>
      </c>
      <c r="I397" t="s">
        <v>215</v>
      </c>
      <c r="J397">
        <v>7</v>
      </c>
      <c r="K397">
        <v>650</v>
      </c>
    </row>
    <row r="398" spans="1:11" hidden="1" x14ac:dyDescent="0.25">
      <c r="A398" t="s">
        <v>52</v>
      </c>
      <c r="B398" t="s">
        <v>619</v>
      </c>
      <c r="C398" t="s">
        <v>570</v>
      </c>
      <c r="D398">
        <v>4750</v>
      </c>
      <c r="F398">
        <v>190</v>
      </c>
      <c r="G398">
        <v>8.1999999999999993</v>
      </c>
      <c r="H398">
        <v>58000</v>
      </c>
      <c r="I398" t="s">
        <v>18</v>
      </c>
      <c r="J398">
        <v>7</v>
      </c>
      <c r="K398">
        <v>451</v>
      </c>
    </row>
    <row r="399" spans="1:11" hidden="1" x14ac:dyDescent="0.25">
      <c r="A399" t="s">
        <v>1226</v>
      </c>
      <c r="B399" t="s">
        <v>1253</v>
      </c>
      <c r="C399" t="s">
        <v>54</v>
      </c>
      <c r="D399">
        <v>3500</v>
      </c>
      <c r="E399">
        <v>290</v>
      </c>
      <c r="F399">
        <v>190</v>
      </c>
      <c r="G399">
        <v>6</v>
      </c>
      <c r="H399">
        <v>58000</v>
      </c>
      <c r="I399" t="s">
        <v>18</v>
      </c>
      <c r="J399">
        <v>7</v>
      </c>
      <c r="K399">
        <v>362</v>
      </c>
    </row>
    <row r="400" spans="1:11" hidden="1" x14ac:dyDescent="0.25">
      <c r="A400" t="s">
        <v>24</v>
      </c>
      <c r="B400" t="s">
        <v>171</v>
      </c>
      <c r="C400" t="s">
        <v>54</v>
      </c>
      <c r="D400">
        <v>2995</v>
      </c>
      <c r="E400">
        <v>335</v>
      </c>
      <c r="F400">
        <v>250</v>
      </c>
      <c r="G400">
        <v>5.7</v>
      </c>
      <c r="H400">
        <v>58000</v>
      </c>
      <c r="I400" t="s">
        <v>18</v>
      </c>
      <c r="J400">
        <v>5</v>
      </c>
      <c r="K400">
        <v>600</v>
      </c>
    </row>
    <row r="401" spans="1:11" hidden="1" x14ac:dyDescent="0.25">
      <c r="A401" t="s">
        <v>701</v>
      </c>
      <c r="B401" t="s">
        <v>771</v>
      </c>
      <c r="C401" t="s">
        <v>616</v>
      </c>
      <c r="D401">
        <v>1984</v>
      </c>
      <c r="E401">
        <v>265</v>
      </c>
      <c r="F401">
        <v>232</v>
      </c>
      <c r="G401">
        <v>6.4</v>
      </c>
      <c r="H401">
        <v>58000</v>
      </c>
      <c r="I401" t="s">
        <v>18</v>
      </c>
      <c r="J401">
        <v>5</v>
      </c>
      <c r="K401">
        <v>400</v>
      </c>
    </row>
    <row r="402" spans="1:11" hidden="1" x14ac:dyDescent="0.25">
      <c r="A402" t="s">
        <v>218</v>
      </c>
      <c r="B402" t="s">
        <v>1106</v>
      </c>
      <c r="C402" t="s">
        <v>330</v>
      </c>
      <c r="E402">
        <v>320</v>
      </c>
      <c r="F402">
        <v>230</v>
      </c>
      <c r="G402">
        <v>5</v>
      </c>
      <c r="H402">
        <v>58000</v>
      </c>
      <c r="I402" t="s">
        <v>132</v>
      </c>
      <c r="J402">
        <v>5</v>
      </c>
      <c r="K402">
        <v>450</v>
      </c>
    </row>
    <row r="403" spans="1:11" hidden="1" x14ac:dyDescent="0.25">
      <c r="A403" t="s">
        <v>1007</v>
      </c>
      <c r="B403" t="s">
        <v>1012</v>
      </c>
      <c r="C403" t="s">
        <v>952</v>
      </c>
      <c r="D403">
        <v>5300</v>
      </c>
      <c r="E403">
        <v>355</v>
      </c>
      <c r="F403">
        <v>180</v>
      </c>
      <c r="G403">
        <v>7.4</v>
      </c>
      <c r="H403">
        <v>57400</v>
      </c>
      <c r="I403" t="s">
        <v>18</v>
      </c>
      <c r="J403">
        <v>8</v>
      </c>
      <c r="K403">
        <v>519</v>
      </c>
    </row>
    <row r="404" spans="1:11" hidden="1" x14ac:dyDescent="0.25">
      <c r="A404" t="s">
        <v>787</v>
      </c>
      <c r="B404" t="s">
        <v>935</v>
      </c>
      <c r="C404" t="s">
        <v>923</v>
      </c>
      <c r="D404">
        <v>3600</v>
      </c>
      <c r="E404">
        <v>310</v>
      </c>
      <c r="F404">
        <v>210</v>
      </c>
      <c r="G404">
        <v>6.9</v>
      </c>
      <c r="H404">
        <v>57095</v>
      </c>
      <c r="I404" t="s">
        <v>18</v>
      </c>
      <c r="J404">
        <v>7</v>
      </c>
      <c r="K404">
        <v>366</v>
      </c>
    </row>
    <row r="405" spans="1:11" x14ac:dyDescent="0.25">
      <c r="A405" t="s">
        <v>27</v>
      </c>
      <c r="B405" t="s">
        <v>182</v>
      </c>
      <c r="C405" t="s">
        <v>136</v>
      </c>
      <c r="D405">
        <v>2998</v>
      </c>
      <c r="E405">
        <v>382</v>
      </c>
      <c r="F405">
        <v>250</v>
      </c>
      <c r="G405">
        <v>4.0999999999999996</v>
      </c>
      <c r="H405">
        <v>57000</v>
      </c>
      <c r="I405" t="s">
        <v>18</v>
      </c>
      <c r="J405">
        <v>5</v>
      </c>
      <c r="K405">
        <v>500</v>
      </c>
    </row>
    <row r="406" spans="1:11" x14ac:dyDescent="0.25">
      <c r="A406" t="s">
        <v>27</v>
      </c>
      <c r="B406" t="s">
        <v>185</v>
      </c>
      <c r="C406" t="s">
        <v>45</v>
      </c>
      <c r="D406">
        <v>1998</v>
      </c>
      <c r="E406">
        <v>248</v>
      </c>
      <c r="F406">
        <v>250</v>
      </c>
      <c r="G406">
        <v>5.9</v>
      </c>
      <c r="H406">
        <v>57000</v>
      </c>
      <c r="I406" t="s">
        <v>18</v>
      </c>
      <c r="J406">
        <v>5</v>
      </c>
      <c r="K406">
        <v>400</v>
      </c>
    </row>
    <row r="407" spans="1:11" hidden="1" x14ac:dyDescent="0.25">
      <c r="A407" t="s">
        <v>939</v>
      </c>
      <c r="B407" t="s">
        <v>1000</v>
      </c>
      <c r="C407" t="s">
        <v>952</v>
      </c>
      <c r="D407">
        <v>5300</v>
      </c>
      <c r="E407">
        <v>355</v>
      </c>
      <c r="F407">
        <v>180</v>
      </c>
      <c r="G407">
        <v>7.5</v>
      </c>
      <c r="H407">
        <v>56995</v>
      </c>
      <c r="I407" t="s">
        <v>18</v>
      </c>
      <c r="J407">
        <v>8</v>
      </c>
      <c r="K407">
        <v>519</v>
      </c>
    </row>
    <row r="408" spans="1:11" hidden="1" x14ac:dyDescent="0.25">
      <c r="A408" t="s">
        <v>939</v>
      </c>
      <c r="B408" t="s">
        <v>951</v>
      </c>
      <c r="C408" t="s">
        <v>952</v>
      </c>
      <c r="D408">
        <v>5300</v>
      </c>
      <c r="E408">
        <v>355</v>
      </c>
      <c r="F408">
        <v>200</v>
      </c>
      <c r="G408">
        <v>7.5</v>
      </c>
      <c r="H408">
        <v>56995</v>
      </c>
      <c r="I408" t="s">
        <v>18</v>
      </c>
      <c r="J408">
        <v>7</v>
      </c>
      <c r="K408">
        <v>519</v>
      </c>
    </row>
    <row r="409" spans="1:11" hidden="1" x14ac:dyDescent="0.25">
      <c r="A409" t="s">
        <v>19</v>
      </c>
      <c r="B409" t="s">
        <v>1379</v>
      </c>
      <c r="C409" t="s">
        <v>1260</v>
      </c>
      <c r="D409">
        <v>3000</v>
      </c>
      <c r="E409">
        <v>400</v>
      </c>
      <c r="F409">
        <v>230</v>
      </c>
      <c r="G409">
        <v>6</v>
      </c>
      <c r="H409">
        <v>56505</v>
      </c>
      <c r="I409" t="s">
        <v>18</v>
      </c>
      <c r="J409">
        <v>7</v>
      </c>
      <c r="K409">
        <v>563</v>
      </c>
    </row>
    <row r="410" spans="1:11" hidden="1" x14ac:dyDescent="0.25">
      <c r="A410" t="s">
        <v>939</v>
      </c>
      <c r="B410" t="s">
        <v>996</v>
      </c>
      <c r="C410" t="s">
        <v>959</v>
      </c>
      <c r="D410">
        <v>6600</v>
      </c>
      <c r="E410">
        <v>445</v>
      </c>
      <c r="F410">
        <v>160</v>
      </c>
      <c r="G410">
        <v>8.4</v>
      </c>
      <c r="H410">
        <v>56400</v>
      </c>
      <c r="I410" t="s">
        <v>50</v>
      </c>
      <c r="J410">
        <v>6</v>
      </c>
      <c r="K410">
        <v>1234</v>
      </c>
    </row>
    <row r="411" spans="1:11" hidden="1" x14ac:dyDescent="0.25">
      <c r="A411" t="s">
        <v>1007</v>
      </c>
      <c r="B411" t="s">
        <v>1040</v>
      </c>
      <c r="C411" t="s">
        <v>1036</v>
      </c>
      <c r="D411">
        <v>5327</v>
      </c>
      <c r="E411">
        <v>355</v>
      </c>
      <c r="F411">
        <v>180</v>
      </c>
      <c r="G411">
        <v>6.8</v>
      </c>
      <c r="H411">
        <v>56000</v>
      </c>
      <c r="I411" t="s">
        <v>18</v>
      </c>
      <c r="J411">
        <v>5</v>
      </c>
      <c r="K411">
        <v>519</v>
      </c>
    </row>
    <row r="412" spans="1:11" hidden="1" x14ac:dyDescent="0.25">
      <c r="A412" t="s">
        <v>43</v>
      </c>
      <c r="B412" t="s">
        <v>292</v>
      </c>
      <c r="C412" t="s">
        <v>293</v>
      </c>
      <c r="D412">
        <v>3445</v>
      </c>
      <c r="E412">
        <v>437</v>
      </c>
      <c r="F412">
        <v>180</v>
      </c>
      <c r="G412">
        <v>6.2</v>
      </c>
      <c r="H412">
        <v>56000</v>
      </c>
      <c r="I412" t="s">
        <v>65</v>
      </c>
      <c r="J412">
        <v>5</v>
      </c>
      <c r="K412">
        <v>750</v>
      </c>
    </row>
    <row r="413" spans="1:11" hidden="1" x14ac:dyDescent="0.25">
      <c r="A413" t="s">
        <v>939</v>
      </c>
      <c r="B413" t="s">
        <v>968</v>
      </c>
      <c r="C413" t="s">
        <v>952</v>
      </c>
      <c r="D413">
        <v>5300</v>
      </c>
      <c r="E413">
        <v>355</v>
      </c>
      <c r="F413">
        <v>180</v>
      </c>
      <c r="G413">
        <v>7</v>
      </c>
      <c r="H413">
        <v>55895</v>
      </c>
      <c r="I413" t="s">
        <v>18</v>
      </c>
      <c r="J413">
        <v>6</v>
      </c>
      <c r="K413">
        <v>519</v>
      </c>
    </row>
    <row r="414" spans="1:11" hidden="1" x14ac:dyDescent="0.25">
      <c r="A414" t="s">
        <v>52</v>
      </c>
      <c r="B414" t="s">
        <v>569</v>
      </c>
      <c r="C414" t="s">
        <v>570</v>
      </c>
      <c r="D414">
        <v>4750</v>
      </c>
      <c r="F414">
        <v>190</v>
      </c>
      <c r="G414">
        <v>8.1999999999999993</v>
      </c>
      <c r="H414">
        <v>55000</v>
      </c>
      <c r="I414" t="s">
        <v>18</v>
      </c>
      <c r="J414">
        <v>7</v>
      </c>
      <c r="K414">
        <v>451</v>
      </c>
    </row>
    <row r="415" spans="1:11" hidden="1" x14ac:dyDescent="0.25">
      <c r="A415" t="s">
        <v>1226</v>
      </c>
      <c r="B415" t="s">
        <v>1241</v>
      </c>
      <c r="C415" t="s">
        <v>1242</v>
      </c>
      <c r="D415">
        <v>3500</v>
      </c>
      <c r="E415">
        <v>321</v>
      </c>
      <c r="F415">
        <v>190</v>
      </c>
      <c r="G415">
        <v>6</v>
      </c>
      <c r="H415">
        <v>55000</v>
      </c>
      <c r="I415" t="s">
        <v>65</v>
      </c>
      <c r="J415">
        <v>7</v>
      </c>
      <c r="K415">
        <v>335</v>
      </c>
    </row>
    <row r="416" spans="1:11" hidden="1" x14ac:dyDescent="0.25">
      <c r="A416" t="s">
        <v>1226</v>
      </c>
      <c r="B416" t="s">
        <v>1251</v>
      </c>
      <c r="C416" t="s">
        <v>54</v>
      </c>
      <c r="D416">
        <v>3500</v>
      </c>
      <c r="E416">
        <v>290</v>
      </c>
      <c r="F416">
        <v>190</v>
      </c>
      <c r="G416">
        <v>6</v>
      </c>
      <c r="H416">
        <v>55000</v>
      </c>
      <c r="I416" t="s">
        <v>18</v>
      </c>
      <c r="J416">
        <v>7</v>
      </c>
      <c r="K416">
        <v>362</v>
      </c>
    </row>
    <row r="417" spans="1:11" hidden="1" x14ac:dyDescent="0.25">
      <c r="A417" t="s">
        <v>910</v>
      </c>
      <c r="B417" t="s">
        <v>1496</v>
      </c>
      <c r="C417" t="s">
        <v>1497</v>
      </c>
      <c r="D417">
        <v>3300</v>
      </c>
      <c r="E417">
        <v>340</v>
      </c>
      <c r="F417">
        <v>240</v>
      </c>
      <c r="G417">
        <v>6.2</v>
      </c>
      <c r="H417">
        <v>55000</v>
      </c>
      <c r="I417" t="s">
        <v>18</v>
      </c>
      <c r="J417">
        <v>7</v>
      </c>
      <c r="K417">
        <v>500</v>
      </c>
    </row>
    <row r="418" spans="1:11" hidden="1" x14ac:dyDescent="0.25">
      <c r="A418" t="s">
        <v>19</v>
      </c>
      <c r="B418" t="s">
        <v>1396</v>
      </c>
      <c r="C418" t="s">
        <v>1397</v>
      </c>
      <c r="D418">
        <v>3000</v>
      </c>
      <c r="E418">
        <v>400</v>
      </c>
      <c r="F418">
        <v>230</v>
      </c>
      <c r="G418">
        <v>5.9</v>
      </c>
      <c r="H418">
        <v>55000</v>
      </c>
      <c r="I418" t="s">
        <v>18</v>
      </c>
      <c r="J418">
        <v>7</v>
      </c>
      <c r="K418">
        <v>563</v>
      </c>
    </row>
    <row r="419" spans="1:11" hidden="1" x14ac:dyDescent="0.25">
      <c r="A419" t="s">
        <v>43</v>
      </c>
      <c r="B419" t="s">
        <v>300</v>
      </c>
      <c r="C419" t="s">
        <v>297</v>
      </c>
      <c r="D419">
        <v>2755</v>
      </c>
      <c r="E419">
        <v>204</v>
      </c>
      <c r="F419">
        <v>175</v>
      </c>
      <c r="G419">
        <v>10.5</v>
      </c>
      <c r="H419">
        <v>55000</v>
      </c>
      <c r="I419" t="s">
        <v>215</v>
      </c>
      <c r="J419">
        <v>7</v>
      </c>
      <c r="K419">
        <v>500</v>
      </c>
    </row>
    <row r="420" spans="1:11" hidden="1" x14ac:dyDescent="0.25">
      <c r="A420" t="s">
        <v>43</v>
      </c>
      <c r="B420" t="s">
        <v>310</v>
      </c>
      <c r="C420" t="s">
        <v>131</v>
      </c>
      <c r="E420">
        <v>136</v>
      </c>
      <c r="F420">
        <v>130</v>
      </c>
      <c r="G420">
        <v>13.5</v>
      </c>
      <c r="H420">
        <v>55000</v>
      </c>
      <c r="I420" t="s">
        <v>132</v>
      </c>
      <c r="J420">
        <v>7</v>
      </c>
      <c r="K420">
        <v>280</v>
      </c>
    </row>
    <row r="421" spans="1:11" hidden="1" x14ac:dyDescent="0.25">
      <c r="A421" t="s">
        <v>1226</v>
      </c>
      <c r="B421" t="s">
        <v>1236</v>
      </c>
      <c r="C421" t="s">
        <v>54</v>
      </c>
      <c r="E421">
        <v>290</v>
      </c>
      <c r="F421">
        <v>190</v>
      </c>
      <c r="G421">
        <v>6</v>
      </c>
      <c r="H421">
        <v>55000</v>
      </c>
      <c r="I421" t="s">
        <v>18</v>
      </c>
      <c r="J421">
        <v>7</v>
      </c>
      <c r="K421">
        <v>362</v>
      </c>
    </row>
    <row r="422" spans="1:11" hidden="1" x14ac:dyDescent="0.25">
      <c r="A422" t="s">
        <v>52</v>
      </c>
      <c r="B422" t="s">
        <v>608</v>
      </c>
      <c r="C422" t="s">
        <v>509</v>
      </c>
      <c r="D422">
        <v>5552</v>
      </c>
      <c r="F422">
        <v>195</v>
      </c>
      <c r="G422">
        <v>6.9</v>
      </c>
      <c r="H422">
        <v>55000</v>
      </c>
      <c r="I422" t="s">
        <v>18</v>
      </c>
      <c r="J422">
        <v>6</v>
      </c>
      <c r="K422">
        <v>560</v>
      </c>
    </row>
    <row r="423" spans="1:11" hidden="1" x14ac:dyDescent="0.25">
      <c r="A423" t="s">
        <v>52</v>
      </c>
      <c r="B423" t="s">
        <v>669</v>
      </c>
      <c r="C423" t="s">
        <v>509</v>
      </c>
      <c r="D423">
        <v>5552</v>
      </c>
      <c r="F423">
        <v>180</v>
      </c>
      <c r="G423">
        <v>7</v>
      </c>
      <c r="H423">
        <v>55000</v>
      </c>
      <c r="I423" t="s">
        <v>18</v>
      </c>
      <c r="J423">
        <v>5</v>
      </c>
      <c r="K423">
        <v>560</v>
      </c>
    </row>
    <row r="424" spans="1:11" hidden="1" x14ac:dyDescent="0.25">
      <c r="A424" t="s">
        <v>1007</v>
      </c>
      <c r="B424" t="s">
        <v>1074</v>
      </c>
      <c r="C424" t="s">
        <v>1034</v>
      </c>
      <c r="D424">
        <v>3564</v>
      </c>
      <c r="E424">
        <v>308</v>
      </c>
      <c r="F424">
        <v>180</v>
      </c>
      <c r="G424">
        <v>6.8</v>
      </c>
      <c r="H424">
        <v>55000</v>
      </c>
      <c r="I424" t="s">
        <v>18</v>
      </c>
      <c r="J424">
        <v>5</v>
      </c>
      <c r="K424">
        <v>373</v>
      </c>
    </row>
    <row r="425" spans="1:11" hidden="1" x14ac:dyDescent="0.25">
      <c r="A425" t="s">
        <v>269</v>
      </c>
      <c r="B425" t="s">
        <v>345</v>
      </c>
      <c r="C425" t="s">
        <v>346</v>
      </c>
      <c r="D425">
        <v>3300</v>
      </c>
      <c r="E425">
        <v>278</v>
      </c>
      <c r="F425">
        <v>240</v>
      </c>
      <c r="G425">
        <v>6.5</v>
      </c>
      <c r="H425">
        <v>55000</v>
      </c>
      <c r="I425" t="s">
        <v>18</v>
      </c>
      <c r="J425">
        <v>5</v>
      </c>
      <c r="K425">
        <v>250</v>
      </c>
    </row>
    <row r="426" spans="1:11" hidden="1" x14ac:dyDescent="0.25">
      <c r="A426" t="s">
        <v>269</v>
      </c>
      <c r="B426" t="s">
        <v>347</v>
      </c>
      <c r="C426" t="s">
        <v>346</v>
      </c>
      <c r="D426">
        <v>3300</v>
      </c>
      <c r="E426">
        <v>278</v>
      </c>
      <c r="F426">
        <v>240</v>
      </c>
      <c r="G426">
        <v>6.5</v>
      </c>
      <c r="H426">
        <v>55000</v>
      </c>
      <c r="I426" t="s">
        <v>18</v>
      </c>
      <c r="J426">
        <v>5</v>
      </c>
      <c r="K426">
        <v>400</v>
      </c>
    </row>
    <row r="427" spans="1:11" hidden="1" x14ac:dyDescent="0.25">
      <c r="A427" t="s">
        <v>52</v>
      </c>
      <c r="B427" t="s">
        <v>579</v>
      </c>
      <c r="C427" t="s">
        <v>520</v>
      </c>
      <c r="D427">
        <v>2997</v>
      </c>
      <c r="F427">
        <v>270</v>
      </c>
      <c r="G427">
        <v>4.7</v>
      </c>
      <c r="H427">
        <v>55000</v>
      </c>
      <c r="I427" t="s">
        <v>18</v>
      </c>
      <c r="J427">
        <v>5</v>
      </c>
      <c r="K427">
        <v>475</v>
      </c>
    </row>
    <row r="428" spans="1:11" hidden="1" x14ac:dyDescent="0.25">
      <c r="A428" t="s">
        <v>218</v>
      </c>
      <c r="B428" t="s">
        <v>1100</v>
      </c>
      <c r="C428" t="s">
        <v>1090</v>
      </c>
      <c r="D428">
        <v>2500</v>
      </c>
      <c r="E428">
        <v>300</v>
      </c>
      <c r="F428">
        <v>270</v>
      </c>
      <c r="G428">
        <v>5</v>
      </c>
      <c r="H428">
        <v>55000</v>
      </c>
      <c r="I428" t="s">
        <v>18</v>
      </c>
      <c r="J428">
        <v>5</v>
      </c>
      <c r="K428">
        <v>422</v>
      </c>
    </row>
    <row r="429" spans="1:11" hidden="1" x14ac:dyDescent="0.25">
      <c r="A429" t="s">
        <v>213</v>
      </c>
      <c r="B429" t="s">
        <v>216</v>
      </c>
      <c r="C429" t="s">
        <v>136</v>
      </c>
      <c r="D429">
        <v>1969</v>
      </c>
      <c r="E429">
        <v>247</v>
      </c>
      <c r="F429">
        <v>220</v>
      </c>
      <c r="G429">
        <v>6.4</v>
      </c>
      <c r="H429">
        <v>55000</v>
      </c>
      <c r="I429" t="s">
        <v>215</v>
      </c>
      <c r="J429">
        <v>5</v>
      </c>
      <c r="K429">
        <v>400</v>
      </c>
    </row>
    <row r="430" spans="1:11" hidden="1" x14ac:dyDescent="0.25">
      <c r="A430" t="s">
        <v>351</v>
      </c>
      <c r="B430" t="s">
        <v>364</v>
      </c>
      <c r="C430" t="s">
        <v>365</v>
      </c>
      <c r="E430">
        <v>366</v>
      </c>
      <c r="F430">
        <v>235</v>
      </c>
      <c r="G430">
        <v>5.9</v>
      </c>
      <c r="H430">
        <v>55000</v>
      </c>
      <c r="I430" t="s">
        <v>215</v>
      </c>
      <c r="J430">
        <v>5</v>
      </c>
      <c r="K430">
        <v>600</v>
      </c>
    </row>
    <row r="431" spans="1:11" hidden="1" x14ac:dyDescent="0.25">
      <c r="A431" t="s">
        <v>1086</v>
      </c>
      <c r="B431" t="s">
        <v>1087</v>
      </c>
      <c r="C431" t="s">
        <v>1088</v>
      </c>
      <c r="E431">
        <v>360</v>
      </c>
      <c r="F431">
        <v>250</v>
      </c>
      <c r="G431">
        <v>5.2</v>
      </c>
      <c r="H431">
        <v>55000</v>
      </c>
      <c r="I431" t="s">
        <v>65</v>
      </c>
      <c r="J431">
        <v>5</v>
      </c>
      <c r="K431">
        <v>520</v>
      </c>
    </row>
    <row r="432" spans="1:11" hidden="1" x14ac:dyDescent="0.25">
      <c r="A432" t="s">
        <v>1178</v>
      </c>
      <c r="B432" t="s">
        <v>1198</v>
      </c>
      <c r="C432" t="s">
        <v>1182</v>
      </c>
      <c r="E432">
        <v>340</v>
      </c>
      <c r="F432">
        <v>250</v>
      </c>
      <c r="G432">
        <v>5.3</v>
      </c>
      <c r="H432">
        <v>55000</v>
      </c>
      <c r="I432" t="s">
        <v>18</v>
      </c>
      <c r="J432">
        <v>5</v>
      </c>
      <c r="K432">
        <v>450</v>
      </c>
    </row>
    <row r="433" spans="1:11" hidden="1" x14ac:dyDescent="0.25">
      <c r="A433" t="s">
        <v>1178</v>
      </c>
      <c r="B433" t="s">
        <v>1206</v>
      </c>
      <c r="C433" t="s">
        <v>1182</v>
      </c>
      <c r="E433">
        <v>300</v>
      </c>
      <c r="F433">
        <v>250</v>
      </c>
      <c r="G433">
        <v>5.5</v>
      </c>
      <c r="H433">
        <v>55000</v>
      </c>
      <c r="I433" t="s">
        <v>18</v>
      </c>
      <c r="J433">
        <v>5</v>
      </c>
      <c r="K433">
        <v>400</v>
      </c>
    </row>
    <row r="434" spans="1:11" hidden="1" x14ac:dyDescent="0.25">
      <c r="A434" t="s">
        <v>1178</v>
      </c>
      <c r="B434" t="s">
        <v>1210</v>
      </c>
      <c r="C434" t="s">
        <v>1182</v>
      </c>
      <c r="E434">
        <v>246</v>
      </c>
      <c r="F434">
        <v>230</v>
      </c>
      <c r="G434">
        <v>6.8</v>
      </c>
      <c r="H434">
        <v>55000</v>
      </c>
      <c r="I434" t="s">
        <v>18</v>
      </c>
      <c r="J434">
        <v>5</v>
      </c>
      <c r="K434">
        <v>430</v>
      </c>
    </row>
    <row r="435" spans="1:11" hidden="1" x14ac:dyDescent="0.25">
      <c r="A435" t="s">
        <v>1178</v>
      </c>
      <c r="B435" t="s">
        <v>1216</v>
      </c>
      <c r="C435" t="s">
        <v>1190</v>
      </c>
      <c r="E435">
        <v>300</v>
      </c>
      <c r="F435">
        <v>250</v>
      </c>
      <c r="G435">
        <v>5.5</v>
      </c>
      <c r="H435">
        <v>55000</v>
      </c>
      <c r="I435" t="s">
        <v>18</v>
      </c>
      <c r="J435">
        <v>5</v>
      </c>
      <c r="K435">
        <v>400</v>
      </c>
    </row>
    <row r="436" spans="1:11" hidden="1" x14ac:dyDescent="0.25">
      <c r="A436" t="s">
        <v>1226</v>
      </c>
      <c r="B436" t="s">
        <v>1237</v>
      </c>
      <c r="C436" t="s">
        <v>1232</v>
      </c>
      <c r="E436">
        <v>272</v>
      </c>
      <c r="F436">
        <v>210</v>
      </c>
      <c r="G436">
        <v>6.6</v>
      </c>
      <c r="H436">
        <v>55000</v>
      </c>
      <c r="I436" t="s">
        <v>18</v>
      </c>
      <c r="J436">
        <v>5</v>
      </c>
      <c r="K436">
        <v>400</v>
      </c>
    </row>
    <row r="437" spans="1:11" hidden="1" x14ac:dyDescent="0.25">
      <c r="A437" t="s">
        <v>1086</v>
      </c>
      <c r="B437" t="s">
        <v>1294</v>
      </c>
      <c r="C437" t="s">
        <v>1285</v>
      </c>
      <c r="E437">
        <v>360</v>
      </c>
      <c r="F437">
        <v>250</v>
      </c>
      <c r="G437">
        <v>5</v>
      </c>
      <c r="H437">
        <v>55000</v>
      </c>
      <c r="I437" t="s">
        <v>65</v>
      </c>
      <c r="J437">
        <v>5</v>
      </c>
      <c r="K437">
        <v>520</v>
      </c>
    </row>
    <row r="438" spans="1:11" hidden="1" x14ac:dyDescent="0.25">
      <c r="A438" t="s">
        <v>19</v>
      </c>
      <c r="B438" t="s">
        <v>1333</v>
      </c>
      <c r="C438" t="s">
        <v>1334</v>
      </c>
      <c r="E438">
        <v>370</v>
      </c>
      <c r="F438">
        <v>200</v>
      </c>
      <c r="H438">
        <v>55000</v>
      </c>
      <c r="I438" t="s">
        <v>215</v>
      </c>
      <c r="J438">
        <v>5</v>
      </c>
      <c r="K438">
        <v>550</v>
      </c>
    </row>
    <row r="439" spans="1:11" hidden="1" x14ac:dyDescent="0.25">
      <c r="A439" t="s">
        <v>19</v>
      </c>
      <c r="B439" t="s">
        <v>1335</v>
      </c>
      <c r="C439" t="s">
        <v>1336</v>
      </c>
      <c r="E439">
        <v>430</v>
      </c>
      <c r="F439">
        <v>180</v>
      </c>
      <c r="H439">
        <v>55000</v>
      </c>
      <c r="I439" t="s">
        <v>215</v>
      </c>
      <c r="J439">
        <v>5</v>
      </c>
      <c r="K439">
        <v>875</v>
      </c>
    </row>
    <row r="440" spans="1:11" hidden="1" x14ac:dyDescent="0.25">
      <c r="A440" t="s">
        <v>19</v>
      </c>
      <c r="B440" t="s">
        <v>1349</v>
      </c>
      <c r="C440" t="s">
        <v>583</v>
      </c>
      <c r="D440">
        <v>5000</v>
      </c>
      <c r="E440">
        <v>450</v>
      </c>
      <c r="F440">
        <v>250</v>
      </c>
      <c r="G440">
        <v>4.3</v>
      </c>
      <c r="H440">
        <v>55000</v>
      </c>
      <c r="I440" t="s">
        <v>18</v>
      </c>
      <c r="J440">
        <v>4</v>
      </c>
      <c r="K440">
        <v>530</v>
      </c>
    </row>
    <row r="441" spans="1:11" hidden="1" x14ac:dyDescent="0.25">
      <c r="A441" t="s">
        <v>52</v>
      </c>
      <c r="B441" t="s">
        <v>666</v>
      </c>
      <c r="C441" t="s">
        <v>520</v>
      </c>
      <c r="D441">
        <v>2960</v>
      </c>
      <c r="F441">
        <v>250</v>
      </c>
      <c r="G441">
        <v>5.9</v>
      </c>
      <c r="H441">
        <v>55000</v>
      </c>
      <c r="I441" t="s">
        <v>18</v>
      </c>
      <c r="J441">
        <v>4</v>
      </c>
      <c r="K441">
        <v>384</v>
      </c>
    </row>
    <row r="442" spans="1:11" hidden="1" x14ac:dyDescent="0.25">
      <c r="A442" t="s">
        <v>351</v>
      </c>
      <c r="B442" t="s">
        <v>389</v>
      </c>
      <c r="C442" t="s">
        <v>132</v>
      </c>
      <c r="E442">
        <v>204</v>
      </c>
      <c r="F442">
        <v>145</v>
      </c>
      <c r="G442">
        <v>10.199999999999999</v>
      </c>
      <c r="H442">
        <v>55000</v>
      </c>
      <c r="I442" t="s">
        <v>132</v>
      </c>
      <c r="J442">
        <v>3</v>
      </c>
      <c r="K442">
        <v>310</v>
      </c>
    </row>
    <row r="443" spans="1:11" hidden="1" x14ac:dyDescent="0.25">
      <c r="A443" t="s">
        <v>1398</v>
      </c>
      <c r="B443" t="s">
        <v>1457</v>
      </c>
      <c r="C443" t="s">
        <v>1458</v>
      </c>
      <c r="D443">
        <v>3000</v>
      </c>
      <c r="E443">
        <v>150</v>
      </c>
      <c r="F443">
        <v>120</v>
      </c>
      <c r="H443">
        <v>55000</v>
      </c>
      <c r="I443" t="s">
        <v>1459</v>
      </c>
      <c r="J443">
        <v>2</v>
      </c>
      <c r="K443">
        <v>370</v>
      </c>
    </row>
    <row r="444" spans="1:11" hidden="1" x14ac:dyDescent="0.25">
      <c r="A444" t="s">
        <v>351</v>
      </c>
      <c r="B444" t="s">
        <v>488</v>
      </c>
      <c r="C444" t="s">
        <v>132</v>
      </c>
      <c r="E444">
        <v>204</v>
      </c>
      <c r="F444">
        <v>145</v>
      </c>
      <c r="G444">
        <v>10.199999999999999</v>
      </c>
      <c r="H444">
        <v>55000</v>
      </c>
      <c r="I444" t="s">
        <v>132</v>
      </c>
      <c r="J444">
        <v>2</v>
      </c>
      <c r="K444">
        <v>310</v>
      </c>
    </row>
    <row r="445" spans="1:11" hidden="1" x14ac:dyDescent="0.25">
      <c r="A445" t="s">
        <v>351</v>
      </c>
      <c r="B445" t="s">
        <v>504</v>
      </c>
      <c r="C445" t="s">
        <v>132</v>
      </c>
      <c r="E445">
        <v>204</v>
      </c>
      <c r="F445">
        <v>145</v>
      </c>
      <c r="G445">
        <v>10.199999999999999</v>
      </c>
      <c r="H445">
        <v>55000</v>
      </c>
      <c r="I445" t="s">
        <v>132</v>
      </c>
      <c r="J445">
        <v>2</v>
      </c>
      <c r="K445">
        <v>310</v>
      </c>
    </row>
    <row r="446" spans="1:11" hidden="1" x14ac:dyDescent="0.25">
      <c r="A446" t="s">
        <v>1007</v>
      </c>
      <c r="B446" t="s">
        <v>1033</v>
      </c>
      <c r="C446" t="s">
        <v>1034</v>
      </c>
      <c r="D446">
        <v>3564</v>
      </c>
      <c r="E446">
        <v>310</v>
      </c>
      <c r="F446">
        <v>210</v>
      </c>
      <c r="G446">
        <v>6.5</v>
      </c>
      <c r="H446">
        <v>54300</v>
      </c>
      <c r="I446" t="s">
        <v>18</v>
      </c>
      <c r="J446">
        <v>7</v>
      </c>
      <c r="K446">
        <v>366</v>
      </c>
    </row>
    <row r="447" spans="1:11" hidden="1" x14ac:dyDescent="0.25">
      <c r="A447" t="s">
        <v>1226</v>
      </c>
      <c r="B447" t="s">
        <v>1259</v>
      </c>
      <c r="C447" t="s">
        <v>1260</v>
      </c>
      <c r="D447">
        <v>3000</v>
      </c>
      <c r="E447">
        <v>355</v>
      </c>
      <c r="F447">
        <v>250</v>
      </c>
      <c r="G447">
        <v>5.0999999999999996</v>
      </c>
      <c r="H447">
        <v>54000</v>
      </c>
      <c r="I447" t="s">
        <v>18</v>
      </c>
      <c r="J447">
        <v>5</v>
      </c>
      <c r="K447">
        <v>480</v>
      </c>
    </row>
    <row r="448" spans="1:11" hidden="1" x14ac:dyDescent="0.25">
      <c r="A448" t="s">
        <v>22</v>
      </c>
      <c r="B448" t="s">
        <v>125</v>
      </c>
      <c r="C448" t="s">
        <v>54</v>
      </c>
      <c r="D448">
        <v>2996</v>
      </c>
      <c r="E448">
        <v>402</v>
      </c>
      <c r="F448">
        <v>250</v>
      </c>
      <c r="G448">
        <v>4.7</v>
      </c>
      <c r="H448">
        <v>54000</v>
      </c>
      <c r="I448" t="s">
        <v>18</v>
      </c>
      <c r="J448">
        <v>5</v>
      </c>
      <c r="K448">
        <v>520</v>
      </c>
    </row>
    <row r="449" spans="1:11" hidden="1" x14ac:dyDescent="0.25">
      <c r="A449" t="s">
        <v>43</v>
      </c>
      <c r="B449" t="s">
        <v>44</v>
      </c>
      <c r="C449" t="s">
        <v>45</v>
      </c>
      <c r="D449">
        <v>2998</v>
      </c>
      <c r="E449">
        <v>382</v>
      </c>
      <c r="F449">
        <v>250</v>
      </c>
      <c r="G449">
        <v>4.0999999999999996</v>
      </c>
      <c r="H449">
        <v>53900</v>
      </c>
      <c r="I449" t="s">
        <v>18</v>
      </c>
      <c r="J449">
        <v>2</v>
      </c>
      <c r="K449">
        <v>500</v>
      </c>
    </row>
    <row r="450" spans="1:11" hidden="1" x14ac:dyDescent="0.25">
      <c r="A450" t="s">
        <v>1007</v>
      </c>
      <c r="B450" t="s">
        <v>1026</v>
      </c>
      <c r="C450" t="s">
        <v>952</v>
      </c>
      <c r="D450">
        <v>5300</v>
      </c>
      <c r="E450">
        <v>355</v>
      </c>
      <c r="F450">
        <v>180</v>
      </c>
      <c r="G450">
        <v>7.4</v>
      </c>
      <c r="H450">
        <v>53800</v>
      </c>
      <c r="I450" t="s">
        <v>18</v>
      </c>
      <c r="J450">
        <v>6</v>
      </c>
      <c r="K450">
        <v>519</v>
      </c>
    </row>
    <row r="451" spans="1:11" hidden="1" x14ac:dyDescent="0.25">
      <c r="A451" t="s">
        <v>871</v>
      </c>
      <c r="B451" t="s">
        <v>877</v>
      </c>
      <c r="C451" t="s">
        <v>878</v>
      </c>
      <c r="E451">
        <v>450</v>
      </c>
      <c r="F451">
        <v>261</v>
      </c>
      <c r="G451">
        <v>3.1</v>
      </c>
      <c r="H451">
        <v>53240</v>
      </c>
      <c r="I451" t="s">
        <v>132</v>
      </c>
      <c r="J451">
        <v>5</v>
      </c>
      <c r="K451">
        <v>660</v>
      </c>
    </row>
    <row r="452" spans="1:11" hidden="1" x14ac:dyDescent="0.25">
      <c r="A452" t="s">
        <v>218</v>
      </c>
      <c r="B452" t="s">
        <v>1146</v>
      </c>
      <c r="C452" t="s">
        <v>334</v>
      </c>
      <c r="D452">
        <v>3778</v>
      </c>
      <c r="E452">
        <v>291</v>
      </c>
      <c r="F452">
        <v>240</v>
      </c>
      <c r="G452">
        <v>7</v>
      </c>
      <c r="H452">
        <v>53000</v>
      </c>
      <c r="I452" t="s">
        <v>18</v>
      </c>
      <c r="J452">
        <v>7</v>
      </c>
      <c r="K452">
        <v>355</v>
      </c>
    </row>
    <row r="453" spans="1:11" hidden="1" x14ac:dyDescent="0.25">
      <c r="A453" t="s">
        <v>19</v>
      </c>
      <c r="B453" t="s">
        <v>1386</v>
      </c>
      <c r="C453" t="s">
        <v>1387</v>
      </c>
      <c r="E453">
        <v>457</v>
      </c>
      <c r="F453">
        <v>225</v>
      </c>
      <c r="G453">
        <v>6</v>
      </c>
      <c r="H453">
        <v>53000</v>
      </c>
      <c r="I453" t="s">
        <v>65</v>
      </c>
      <c r="J453">
        <v>7</v>
      </c>
      <c r="K453">
        <v>825</v>
      </c>
    </row>
    <row r="454" spans="1:11" hidden="1" x14ac:dyDescent="0.25">
      <c r="A454" t="s">
        <v>22</v>
      </c>
      <c r="B454" t="s">
        <v>114</v>
      </c>
      <c r="C454" t="s">
        <v>45</v>
      </c>
      <c r="D454">
        <v>1991</v>
      </c>
      <c r="E454">
        <v>382</v>
      </c>
      <c r="F454">
        <v>250</v>
      </c>
      <c r="G454">
        <v>4.0999999999999996</v>
      </c>
      <c r="H454">
        <v>53000</v>
      </c>
      <c r="I454" t="s">
        <v>18</v>
      </c>
      <c r="J454">
        <v>5</v>
      </c>
      <c r="K454">
        <v>500</v>
      </c>
    </row>
    <row r="455" spans="1:11" hidden="1" x14ac:dyDescent="0.25">
      <c r="A455" t="s">
        <v>22</v>
      </c>
      <c r="B455" t="s">
        <v>121</v>
      </c>
      <c r="C455" t="s">
        <v>45</v>
      </c>
      <c r="D455">
        <v>1991</v>
      </c>
      <c r="E455">
        <v>416</v>
      </c>
      <c r="F455">
        <v>250</v>
      </c>
      <c r="G455">
        <v>3.9</v>
      </c>
      <c r="H455">
        <v>53000</v>
      </c>
      <c r="I455" t="s">
        <v>18</v>
      </c>
      <c r="J455">
        <v>5</v>
      </c>
      <c r="K455">
        <v>500</v>
      </c>
    </row>
    <row r="456" spans="1:11" hidden="1" x14ac:dyDescent="0.25">
      <c r="A456" t="s">
        <v>22</v>
      </c>
      <c r="B456" t="s">
        <v>124</v>
      </c>
      <c r="C456" t="s">
        <v>45</v>
      </c>
      <c r="D456">
        <v>1991</v>
      </c>
      <c r="E456">
        <v>255</v>
      </c>
      <c r="F456">
        <v>250</v>
      </c>
      <c r="G456">
        <v>6.1</v>
      </c>
      <c r="H456">
        <v>53000</v>
      </c>
      <c r="I456" t="s">
        <v>18</v>
      </c>
      <c r="J456">
        <v>5</v>
      </c>
      <c r="K456">
        <v>500</v>
      </c>
    </row>
    <row r="457" spans="1:11" hidden="1" x14ac:dyDescent="0.25">
      <c r="A457" t="s">
        <v>19</v>
      </c>
      <c r="B457" t="s">
        <v>1347</v>
      </c>
      <c r="C457" t="s">
        <v>1348</v>
      </c>
      <c r="D457">
        <v>3300</v>
      </c>
      <c r="E457">
        <v>318</v>
      </c>
      <c r="F457">
        <v>180</v>
      </c>
      <c r="G457">
        <v>7.5</v>
      </c>
      <c r="H457">
        <v>52500</v>
      </c>
      <c r="I457" t="s">
        <v>65</v>
      </c>
      <c r="J457">
        <v>7</v>
      </c>
      <c r="K457">
        <v>500</v>
      </c>
    </row>
    <row r="458" spans="1:11" hidden="1" x14ac:dyDescent="0.25">
      <c r="A458" t="s">
        <v>43</v>
      </c>
      <c r="B458" t="s">
        <v>253</v>
      </c>
      <c r="C458" t="s">
        <v>45</v>
      </c>
      <c r="D458">
        <v>1798</v>
      </c>
      <c r="E458">
        <v>151</v>
      </c>
      <c r="F458">
        <v>180</v>
      </c>
      <c r="G458">
        <v>9.1999999999999993</v>
      </c>
      <c r="H458">
        <v>52400</v>
      </c>
      <c r="I458" t="s">
        <v>254</v>
      </c>
      <c r="J458">
        <v>5</v>
      </c>
      <c r="K458">
        <v>335</v>
      </c>
    </row>
    <row r="459" spans="1:11" hidden="1" x14ac:dyDescent="0.25">
      <c r="A459" t="s">
        <v>19</v>
      </c>
      <c r="B459" t="s">
        <v>1385</v>
      </c>
      <c r="C459" t="s">
        <v>330</v>
      </c>
      <c r="E459">
        <v>266</v>
      </c>
      <c r="F459">
        <v>140</v>
      </c>
      <c r="G459">
        <v>9</v>
      </c>
      <c r="H459">
        <v>52000</v>
      </c>
      <c r="I459" t="s">
        <v>132</v>
      </c>
      <c r="J459">
        <v>12</v>
      </c>
      <c r="K459">
        <v>430</v>
      </c>
    </row>
    <row r="460" spans="1:11" hidden="1" x14ac:dyDescent="0.25">
      <c r="A460" t="s">
        <v>269</v>
      </c>
      <c r="B460" t="s">
        <v>333</v>
      </c>
      <c r="C460" t="s">
        <v>334</v>
      </c>
      <c r="D460">
        <v>3800</v>
      </c>
      <c r="E460">
        <v>291</v>
      </c>
      <c r="F460">
        <v>240</v>
      </c>
      <c r="G460">
        <v>6.3</v>
      </c>
      <c r="H460">
        <v>52000</v>
      </c>
      <c r="I460" t="s">
        <v>18</v>
      </c>
      <c r="J460">
        <v>7</v>
      </c>
      <c r="K460">
        <v>355</v>
      </c>
    </row>
    <row r="461" spans="1:11" hidden="1" x14ac:dyDescent="0.25">
      <c r="A461" t="s">
        <v>218</v>
      </c>
      <c r="B461" t="s">
        <v>1124</v>
      </c>
      <c r="C461" t="s">
        <v>334</v>
      </c>
      <c r="D461">
        <v>3778</v>
      </c>
      <c r="E461">
        <v>291</v>
      </c>
      <c r="F461">
        <v>240</v>
      </c>
      <c r="G461">
        <v>7</v>
      </c>
      <c r="H461">
        <v>52000</v>
      </c>
      <c r="I461" t="s">
        <v>18</v>
      </c>
      <c r="J461">
        <v>7</v>
      </c>
      <c r="K461">
        <v>355</v>
      </c>
    </row>
    <row r="462" spans="1:11" hidden="1" x14ac:dyDescent="0.25">
      <c r="A462" t="s">
        <v>1226</v>
      </c>
      <c r="B462" t="s">
        <v>1261</v>
      </c>
      <c r="C462" t="s">
        <v>1242</v>
      </c>
      <c r="D462">
        <v>3500</v>
      </c>
      <c r="E462">
        <v>321</v>
      </c>
      <c r="F462">
        <v>190</v>
      </c>
      <c r="G462">
        <v>6</v>
      </c>
      <c r="H462">
        <v>52000</v>
      </c>
      <c r="I462" t="s">
        <v>65</v>
      </c>
      <c r="J462">
        <v>7</v>
      </c>
      <c r="K462">
        <v>335</v>
      </c>
    </row>
    <row r="463" spans="1:11" hidden="1" x14ac:dyDescent="0.25">
      <c r="A463" t="s">
        <v>19</v>
      </c>
      <c r="B463" t="s">
        <v>1363</v>
      </c>
      <c r="C463" t="s">
        <v>1362</v>
      </c>
      <c r="D463">
        <v>2000</v>
      </c>
      <c r="E463">
        <v>210</v>
      </c>
      <c r="F463">
        <v>190</v>
      </c>
      <c r="G463">
        <v>10.5</v>
      </c>
      <c r="H463">
        <v>52000</v>
      </c>
      <c r="I463" t="s">
        <v>50</v>
      </c>
      <c r="J463">
        <v>7</v>
      </c>
      <c r="K463">
        <v>500</v>
      </c>
    </row>
    <row r="464" spans="1:11" hidden="1" x14ac:dyDescent="0.25">
      <c r="A464" t="s">
        <v>269</v>
      </c>
      <c r="B464" t="s">
        <v>344</v>
      </c>
      <c r="C464" t="s">
        <v>334</v>
      </c>
      <c r="D464">
        <v>3800</v>
      </c>
      <c r="E464">
        <v>291</v>
      </c>
      <c r="F464">
        <v>240</v>
      </c>
      <c r="G464">
        <v>6.3</v>
      </c>
      <c r="H464">
        <v>52000</v>
      </c>
      <c r="I464" t="s">
        <v>18</v>
      </c>
      <c r="J464">
        <v>5</v>
      </c>
      <c r="K464">
        <v>400</v>
      </c>
    </row>
    <row r="465" spans="1:11" hidden="1" x14ac:dyDescent="0.25">
      <c r="A465" t="s">
        <v>22</v>
      </c>
      <c r="B465" t="s">
        <v>122</v>
      </c>
      <c r="C465" t="s">
        <v>54</v>
      </c>
      <c r="D465">
        <v>2996</v>
      </c>
      <c r="E465">
        <v>402</v>
      </c>
      <c r="F465">
        <v>250</v>
      </c>
      <c r="G465">
        <v>4.7</v>
      </c>
      <c r="H465">
        <v>52000</v>
      </c>
      <c r="I465" t="s">
        <v>18</v>
      </c>
      <c r="J465">
        <v>5</v>
      </c>
      <c r="K465">
        <v>520</v>
      </c>
    </row>
    <row r="466" spans="1:11" hidden="1" x14ac:dyDescent="0.25">
      <c r="A466" t="s">
        <v>1007</v>
      </c>
      <c r="B466" t="s">
        <v>1038</v>
      </c>
      <c r="C466" t="s">
        <v>1039</v>
      </c>
      <c r="D466">
        <v>2713</v>
      </c>
      <c r="E466">
        <v>310</v>
      </c>
      <c r="F466">
        <v>180</v>
      </c>
      <c r="G466">
        <v>7</v>
      </c>
      <c r="H466">
        <v>52000</v>
      </c>
      <c r="I466" t="s">
        <v>18</v>
      </c>
      <c r="J466">
        <v>5</v>
      </c>
      <c r="K466">
        <v>569</v>
      </c>
    </row>
    <row r="467" spans="1:11" hidden="1" x14ac:dyDescent="0.25">
      <c r="A467" t="s">
        <v>24</v>
      </c>
      <c r="B467" t="s">
        <v>167</v>
      </c>
      <c r="C467" t="s">
        <v>45</v>
      </c>
      <c r="D467">
        <v>1984</v>
      </c>
      <c r="E467">
        <v>306</v>
      </c>
      <c r="F467">
        <v>250</v>
      </c>
      <c r="G467">
        <v>4.8</v>
      </c>
      <c r="H467">
        <v>52000</v>
      </c>
      <c r="I467" t="s">
        <v>18</v>
      </c>
      <c r="J467">
        <v>5</v>
      </c>
      <c r="K467">
        <v>400</v>
      </c>
    </row>
    <row r="468" spans="1:11" hidden="1" x14ac:dyDescent="0.25">
      <c r="A468" t="s">
        <v>19</v>
      </c>
      <c r="B468" t="s">
        <v>1343</v>
      </c>
      <c r="C468" t="s">
        <v>330</v>
      </c>
      <c r="E468">
        <v>385</v>
      </c>
      <c r="F468">
        <v>180</v>
      </c>
      <c r="H468">
        <v>52000</v>
      </c>
      <c r="I468" t="s">
        <v>132</v>
      </c>
      <c r="J468">
        <v>5</v>
      </c>
    </row>
    <row r="469" spans="1:11" hidden="1" x14ac:dyDescent="0.25">
      <c r="A469" t="s">
        <v>886</v>
      </c>
      <c r="B469" t="s">
        <v>914</v>
      </c>
      <c r="C469" t="s">
        <v>888</v>
      </c>
      <c r="D469">
        <v>3600</v>
      </c>
      <c r="E469">
        <v>285</v>
      </c>
      <c r="F469">
        <v>177</v>
      </c>
      <c r="G469">
        <v>8.6</v>
      </c>
      <c r="H469">
        <v>51570</v>
      </c>
      <c r="I469" t="s">
        <v>18</v>
      </c>
      <c r="J469">
        <v>5</v>
      </c>
      <c r="K469">
        <v>353</v>
      </c>
    </row>
    <row r="470" spans="1:11" hidden="1" x14ac:dyDescent="0.25">
      <c r="A470" t="s">
        <v>218</v>
      </c>
      <c r="B470" t="s">
        <v>1120</v>
      </c>
      <c r="C470" t="s">
        <v>1121</v>
      </c>
      <c r="D470">
        <v>3300</v>
      </c>
      <c r="E470">
        <v>365</v>
      </c>
      <c r="F470">
        <v>270</v>
      </c>
      <c r="G470">
        <v>4.7</v>
      </c>
      <c r="H470">
        <v>51500</v>
      </c>
      <c r="I470" t="s">
        <v>18</v>
      </c>
      <c r="J470">
        <v>5</v>
      </c>
      <c r="K470">
        <v>510</v>
      </c>
    </row>
    <row r="471" spans="1:11" hidden="1" x14ac:dyDescent="0.25">
      <c r="A471" t="s">
        <v>787</v>
      </c>
      <c r="B471" t="s">
        <v>934</v>
      </c>
      <c r="C471" t="s">
        <v>923</v>
      </c>
      <c r="D471">
        <v>3600</v>
      </c>
      <c r="E471">
        <v>310</v>
      </c>
      <c r="F471">
        <v>210</v>
      </c>
      <c r="G471">
        <v>6.5</v>
      </c>
      <c r="H471">
        <v>51095</v>
      </c>
      <c r="I471" t="s">
        <v>18</v>
      </c>
      <c r="J471">
        <v>5</v>
      </c>
      <c r="K471">
        <v>366</v>
      </c>
    </row>
    <row r="472" spans="1:11" hidden="1" x14ac:dyDescent="0.25">
      <c r="A472" t="s">
        <v>52</v>
      </c>
      <c r="B472" t="s">
        <v>515</v>
      </c>
      <c r="C472" t="s">
        <v>509</v>
      </c>
      <c r="D472">
        <v>5552</v>
      </c>
      <c r="F472">
        <v>210</v>
      </c>
      <c r="G472">
        <v>6.5</v>
      </c>
      <c r="H472">
        <v>51000</v>
      </c>
      <c r="I472" t="s">
        <v>18</v>
      </c>
      <c r="J472">
        <v>8</v>
      </c>
      <c r="K472">
        <v>560</v>
      </c>
    </row>
    <row r="473" spans="1:11" hidden="1" x14ac:dyDescent="0.25">
      <c r="A473" t="s">
        <v>218</v>
      </c>
      <c r="B473" t="s">
        <v>1104</v>
      </c>
      <c r="C473" t="s">
        <v>334</v>
      </c>
      <c r="D473">
        <v>3778</v>
      </c>
      <c r="E473">
        <v>291</v>
      </c>
      <c r="F473">
        <v>240</v>
      </c>
      <c r="G473">
        <v>7</v>
      </c>
      <c r="H473">
        <v>51000</v>
      </c>
      <c r="I473" t="s">
        <v>18</v>
      </c>
      <c r="J473">
        <v>7</v>
      </c>
      <c r="K473">
        <v>355</v>
      </c>
    </row>
    <row r="474" spans="1:11" hidden="1" x14ac:dyDescent="0.25">
      <c r="A474" t="s">
        <v>787</v>
      </c>
      <c r="B474" t="s">
        <v>793</v>
      </c>
      <c r="C474" t="s">
        <v>794</v>
      </c>
      <c r="D474">
        <v>3000</v>
      </c>
      <c r="E474">
        <v>360</v>
      </c>
      <c r="F474">
        <v>250</v>
      </c>
      <c r="G474">
        <v>4.5999999999999996</v>
      </c>
      <c r="H474">
        <v>50995</v>
      </c>
      <c r="I474" t="s">
        <v>18</v>
      </c>
      <c r="J474">
        <v>5</v>
      </c>
      <c r="K474">
        <v>550</v>
      </c>
    </row>
    <row r="475" spans="1:11" hidden="1" x14ac:dyDescent="0.25">
      <c r="A475" t="s">
        <v>939</v>
      </c>
      <c r="B475" t="s">
        <v>969</v>
      </c>
      <c r="C475" t="s">
        <v>952</v>
      </c>
      <c r="D475">
        <v>5300</v>
      </c>
      <c r="E475">
        <v>355</v>
      </c>
      <c r="F475">
        <v>180</v>
      </c>
      <c r="G475">
        <v>7.1</v>
      </c>
      <c r="H475">
        <v>50895</v>
      </c>
      <c r="I475" t="s">
        <v>18</v>
      </c>
      <c r="J475">
        <v>6</v>
      </c>
      <c r="K475">
        <v>519</v>
      </c>
    </row>
    <row r="476" spans="1:11" hidden="1" x14ac:dyDescent="0.25">
      <c r="A476" t="s">
        <v>886</v>
      </c>
      <c r="B476" t="s">
        <v>906</v>
      </c>
      <c r="C476" t="s">
        <v>905</v>
      </c>
      <c r="E476">
        <v>375</v>
      </c>
      <c r="F476">
        <v>180</v>
      </c>
      <c r="G476">
        <v>6.4</v>
      </c>
      <c r="H476">
        <v>50695</v>
      </c>
      <c r="I476" t="s">
        <v>65</v>
      </c>
      <c r="J476">
        <v>5</v>
      </c>
      <c r="K476">
        <v>637</v>
      </c>
    </row>
    <row r="477" spans="1:11" hidden="1" x14ac:dyDescent="0.25">
      <c r="A477" t="s">
        <v>871</v>
      </c>
      <c r="B477" t="s">
        <v>882</v>
      </c>
      <c r="C477" t="s">
        <v>878</v>
      </c>
      <c r="E477">
        <v>384</v>
      </c>
      <c r="F477">
        <v>217</v>
      </c>
      <c r="G477">
        <v>4.8</v>
      </c>
      <c r="H477">
        <v>50490</v>
      </c>
      <c r="I477" t="s">
        <v>132</v>
      </c>
      <c r="J477">
        <v>5</v>
      </c>
      <c r="K477">
        <v>559</v>
      </c>
    </row>
    <row r="478" spans="1:11" hidden="1" x14ac:dyDescent="0.25">
      <c r="A478" t="s">
        <v>43</v>
      </c>
      <c r="B478" t="s">
        <v>51</v>
      </c>
      <c r="C478" t="s">
        <v>13</v>
      </c>
      <c r="D478">
        <v>5663</v>
      </c>
      <c r="E478">
        <v>381</v>
      </c>
      <c r="F478">
        <v>200</v>
      </c>
      <c r="G478">
        <v>6.9</v>
      </c>
      <c r="H478">
        <v>50000</v>
      </c>
      <c r="I478" t="s">
        <v>18</v>
      </c>
      <c r="J478">
        <v>7</v>
      </c>
      <c r="K478">
        <v>651</v>
      </c>
    </row>
    <row r="479" spans="1:11" hidden="1" x14ac:dyDescent="0.25">
      <c r="A479" t="s">
        <v>218</v>
      </c>
      <c r="B479" t="s">
        <v>1091</v>
      </c>
      <c r="C479" t="s">
        <v>334</v>
      </c>
      <c r="D479">
        <v>3778</v>
      </c>
      <c r="E479">
        <v>291</v>
      </c>
      <c r="F479">
        <v>240</v>
      </c>
      <c r="G479">
        <v>7</v>
      </c>
      <c r="H479">
        <v>50000</v>
      </c>
      <c r="I479" t="s">
        <v>18</v>
      </c>
      <c r="J479">
        <v>7</v>
      </c>
      <c r="K479">
        <v>355</v>
      </c>
    </row>
    <row r="480" spans="1:11" hidden="1" x14ac:dyDescent="0.25">
      <c r="A480" t="s">
        <v>52</v>
      </c>
      <c r="B480" t="s">
        <v>673</v>
      </c>
      <c r="C480" t="s">
        <v>513</v>
      </c>
      <c r="D480">
        <v>3498</v>
      </c>
      <c r="F480">
        <v>200</v>
      </c>
      <c r="G480">
        <v>8.5</v>
      </c>
      <c r="H480">
        <v>50000</v>
      </c>
      <c r="I480" t="s">
        <v>18</v>
      </c>
      <c r="J480">
        <v>7</v>
      </c>
      <c r="K480">
        <v>344</v>
      </c>
    </row>
    <row r="481" spans="1:11" hidden="1" x14ac:dyDescent="0.25">
      <c r="A481" t="s">
        <v>269</v>
      </c>
      <c r="B481" t="s">
        <v>317</v>
      </c>
      <c r="C481" t="s">
        <v>318</v>
      </c>
      <c r="D481">
        <v>1600</v>
      </c>
      <c r="E481">
        <v>253</v>
      </c>
      <c r="F481">
        <v>180</v>
      </c>
      <c r="G481">
        <v>9.3000000000000007</v>
      </c>
      <c r="H481">
        <v>50000</v>
      </c>
      <c r="I481" t="s">
        <v>241</v>
      </c>
      <c r="J481">
        <v>7</v>
      </c>
      <c r="K481">
        <v>420</v>
      </c>
    </row>
    <row r="482" spans="1:11" hidden="1" x14ac:dyDescent="0.25">
      <c r="A482" t="s">
        <v>351</v>
      </c>
      <c r="B482" t="s">
        <v>392</v>
      </c>
      <c r="C482" t="s">
        <v>393</v>
      </c>
      <c r="E482">
        <v>184</v>
      </c>
      <c r="F482">
        <v>190</v>
      </c>
      <c r="G482">
        <v>9.4</v>
      </c>
      <c r="H482">
        <v>50000</v>
      </c>
      <c r="I482" t="s">
        <v>241</v>
      </c>
      <c r="J482">
        <v>7</v>
      </c>
      <c r="K482">
        <v>350</v>
      </c>
    </row>
    <row r="483" spans="1:11" hidden="1" x14ac:dyDescent="0.25">
      <c r="A483" t="s">
        <v>43</v>
      </c>
      <c r="B483" t="s">
        <v>1601</v>
      </c>
      <c r="C483" t="s">
        <v>1602</v>
      </c>
      <c r="E483">
        <v>326</v>
      </c>
      <c r="F483">
        <v>180</v>
      </c>
      <c r="G483">
        <v>6.8</v>
      </c>
      <c r="H483">
        <v>50000</v>
      </c>
      <c r="I483" t="s">
        <v>65</v>
      </c>
      <c r="J483">
        <v>7</v>
      </c>
      <c r="K483">
        <v>630</v>
      </c>
    </row>
    <row r="484" spans="1:11" hidden="1" x14ac:dyDescent="0.25">
      <c r="A484" t="s">
        <v>52</v>
      </c>
      <c r="B484" t="s">
        <v>657</v>
      </c>
      <c r="C484" t="s">
        <v>658</v>
      </c>
      <c r="D484">
        <v>4494</v>
      </c>
      <c r="F484">
        <v>250</v>
      </c>
      <c r="G484">
        <v>5.8</v>
      </c>
      <c r="H484">
        <v>50000</v>
      </c>
      <c r="I484" t="s">
        <v>18</v>
      </c>
      <c r="J484">
        <v>5</v>
      </c>
      <c r="K484">
        <v>451</v>
      </c>
    </row>
    <row r="485" spans="1:11" hidden="1" x14ac:dyDescent="0.25">
      <c r="A485" t="s">
        <v>52</v>
      </c>
      <c r="B485" t="s">
        <v>692</v>
      </c>
      <c r="C485" t="s">
        <v>658</v>
      </c>
      <c r="D485">
        <v>4494</v>
      </c>
      <c r="F485">
        <v>240</v>
      </c>
      <c r="G485">
        <v>6.2</v>
      </c>
      <c r="H485">
        <v>50000</v>
      </c>
      <c r="I485" t="s">
        <v>18</v>
      </c>
      <c r="J485">
        <v>5</v>
      </c>
      <c r="K485">
        <v>450</v>
      </c>
    </row>
    <row r="486" spans="1:11" hidden="1" x14ac:dyDescent="0.25">
      <c r="A486" t="s">
        <v>1007</v>
      </c>
      <c r="B486" t="s">
        <v>1059</v>
      </c>
      <c r="C486" t="s">
        <v>1034</v>
      </c>
      <c r="D486">
        <v>3564</v>
      </c>
      <c r="E486">
        <v>308</v>
      </c>
      <c r="F486">
        <v>180</v>
      </c>
      <c r="G486">
        <v>6.9</v>
      </c>
      <c r="H486">
        <v>50000</v>
      </c>
      <c r="I486" t="s">
        <v>18</v>
      </c>
      <c r="J486">
        <v>5</v>
      </c>
      <c r="K486">
        <v>373</v>
      </c>
    </row>
    <row r="487" spans="1:11" hidden="1" x14ac:dyDescent="0.25">
      <c r="A487" t="s">
        <v>1226</v>
      </c>
      <c r="B487" t="s">
        <v>1249</v>
      </c>
      <c r="C487" t="s">
        <v>54</v>
      </c>
      <c r="D487">
        <v>3500</v>
      </c>
      <c r="E487">
        <v>290</v>
      </c>
      <c r="F487">
        <v>250</v>
      </c>
      <c r="G487">
        <v>5.7</v>
      </c>
      <c r="H487">
        <v>50000</v>
      </c>
      <c r="I487" t="s">
        <v>18</v>
      </c>
      <c r="J487">
        <v>5</v>
      </c>
      <c r="K487">
        <v>362</v>
      </c>
    </row>
    <row r="488" spans="1:11" hidden="1" x14ac:dyDescent="0.25">
      <c r="A488" t="s">
        <v>52</v>
      </c>
      <c r="B488" t="s">
        <v>563</v>
      </c>
      <c r="C488" t="s">
        <v>561</v>
      </c>
      <c r="D488">
        <v>2997</v>
      </c>
      <c r="F488">
        <v>250</v>
      </c>
      <c r="G488">
        <v>5</v>
      </c>
      <c r="H488">
        <v>50000</v>
      </c>
      <c r="I488" t="s">
        <v>18</v>
      </c>
      <c r="J488">
        <v>5</v>
      </c>
      <c r="K488">
        <v>475</v>
      </c>
    </row>
    <row r="489" spans="1:11" hidden="1" x14ac:dyDescent="0.25">
      <c r="A489" t="s">
        <v>52</v>
      </c>
      <c r="B489" t="s">
        <v>691</v>
      </c>
      <c r="C489" t="s">
        <v>690</v>
      </c>
      <c r="D489">
        <v>2960</v>
      </c>
      <c r="F489">
        <v>220</v>
      </c>
      <c r="G489">
        <v>6.5</v>
      </c>
      <c r="H489">
        <v>50000</v>
      </c>
      <c r="I489" t="s">
        <v>18</v>
      </c>
      <c r="J489">
        <v>5</v>
      </c>
      <c r="K489">
        <v>340</v>
      </c>
    </row>
    <row r="490" spans="1:11" hidden="1" x14ac:dyDescent="0.25">
      <c r="A490" t="s">
        <v>43</v>
      </c>
      <c r="B490" t="s">
        <v>296</v>
      </c>
      <c r="C490" t="s">
        <v>297</v>
      </c>
      <c r="D490">
        <v>2755</v>
      </c>
      <c r="E490">
        <v>224</v>
      </c>
      <c r="F490">
        <v>170</v>
      </c>
      <c r="G490">
        <v>10</v>
      </c>
      <c r="H490">
        <v>50000</v>
      </c>
      <c r="I490" t="s">
        <v>215</v>
      </c>
      <c r="J490">
        <v>5</v>
      </c>
      <c r="K490">
        <v>500</v>
      </c>
    </row>
    <row r="491" spans="1:11" hidden="1" x14ac:dyDescent="0.25">
      <c r="A491" t="s">
        <v>43</v>
      </c>
      <c r="B491" t="s">
        <v>309</v>
      </c>
      <c r="C491" t="s">
        <v>297</v>
      </c>
      <c r="D491">
        <v>2755</v>
      </c>
      <c r="E491">
        <v>204</v>
      </c>
      <c r="F491">
        <v>175</v>
      </c>
      <c r="G491">
        <v>10</v>
      </c>
      <c r="H491">
        <v>50000</v>
      </c>
      <c r="I491" t="s">
        <v>50</v>
      </c>
      <c r="J491">
        <v>5</v>
      </c>
      <c r="K491">
        <v>500</v>
      </c>
    </row>
    <row r="492" spans="1:11" hidden="1" x14ac:dyDescent="0.25">
      <c r="A492" t="s">
        <v>218</v>
      </c>
      <c r="B492" t="s">
        <v>1147</v>
      </c>
      <c r="C492" t="s">
        <v>1090</v>
      </c>
      <c r="D492">
        <v>2500</v>
      </c>
      <c r="E492">
        <v>300</v>
      </c>
      <c r="F492">
        <v>270</v>
      </c>
      <c r="G492">
        <v>5</v>
      </c>
      <c r="H492">
        <v>50000</v>
      </c>
      <c r="I492" t="s">
        <v>18</v>
      </c>
      <c r="J492">
        <v>5</v>
      </c>
      <c r="K492">
        <v>422</v>
      </c>
    </row>
    <row r="493" spans="1:11" hidden="1" x14ac:dyDescent="0.25">
      <c r="A493" t="s">
        <v>52</v>
      </c>
      <c r="B493" t="s">
        <v>602</v>
      </c>
      <c r="C493" t="s">
        <v>603</v>
      </c>
      <c r="D493">
        <v>1997</v>
      </c>
      <c r="F493">
        <v>230</v>
      </c>
      <c r="G493">
        <v>6.5</v>
      </c>
      <c r="H493">
        <v>50000</v>
      </c>
      <c r="I493" t="s">
        <v>18</v>
      </c>
      <c r="J493">
        <v>5</v>
      </c>
      <c r="K493">
        <v>380</v>
      </c>
    </row>
    <row r="494" spans="1:11" hidden="1" x14ac:dyDescent="0.25">
      <c r="A494" t="s">
        <v>351</v>
      </c>
      <c r="B494" t="s">
        <v>456</v>
      </c>
      <c r="C494" t="s">
        <v>437</v>
      </c>
      <c r="D494">
        <v>1984</v>
      </c>
      <c r="E494">
        <v>235</v>
      </c>
      <c r="F494">
        <v>250</v>
      </c>
      <c r="G494">
        <v>5.6</v>
      </c>
      <c r="H494">
        <v>50000</v>
      </c>
      <c r="I494" t="s">
        <v>18</v>
      </c>
      <c r="J494">
        <v>5</v>
      </c>
      <c r="K494">
        <v>420</v>
      </c>
    </row>
    <row r="495" spans="1:11" hidden="1" x14ac:dyDescent="0.25">
      <c r="A495" t="s">
        <v>351</v>
      </c>
      <c r="B495" t="s">
        <v>477</v>
      </c>
      <c r="C495" t="s">
        <v>437</v>
      </c>
      <c r="D495">
        <v>1984</v>
      </c>
      <c r="E495">
        <v>235</v>
      </c>
      <c r="F495">
        <v>250</v>
      </c>
      <c r="G495">
        <v>5.6</v>
      </c>
      <c r="H495">
        <v>50000</v>
      </c>
      <c r="I495" t="s">
        <v>18</v>
      </c>
      <c r="J495">
        <v>5</v>
      </c>
      <c r="K495">
        <v>420</v>
      </c>
    </row>
    <row r="496" spans="1:11" hidden="1" x14ac:dyDescent="0.25">
      <c r="A496" t="s">
        <v>351</v>
      </c>
      <c r="B496" t="s">
        <v>489</v>
      </c>
      <c r="C496" t="s">
        <v>437</v>
      </c>
      <c r="D496">
        <v>1984</v>
      </c>
      <c r="E496">
        <v>280</v>
      </c>
      <c r="F496">
        <v>250</v>
      </c>
      <c r="G496">
        <v>5.6</v>
      </c>
      <c r="H496">
        <v>50000</v>
      </c>
      <c r="I496" t="s">
        <v>18</v>
      </c>
      <c r="J496">
        <v>5</v>
      </c>
      <c r="K496">
        <v>350</v>
      </c>
    </row>
    <row r="497" spans="1:11" hidden="1" x14ac:dyDescent="0.25">
      <c r="A497" t="s">
        <v>1226</v>
      </c>
      <c r="B497" t="s">
        <v>1243</v>
      </c>
      <c r="C497" t="s">
        <v>1244</v>
      </c>
      <c r="D497">
        <v>1500</v>
      </c>
      <c r="E497">
        <v>247</v>
      </c>
      <c r="F497">
        <v>210</v>
      </c>
      <c r="G497">
        <v>6.6</v>
      </c>
      <c r="H497">
        <v>50000</v>
      </c>
      <c r="I497" t="s">
        <v>65</v>
      </c>
      <c r="J497">
        <v>5</v>
      </c>
      <c r="K497">
        <v>400</v>
      </c>
    </row>
    <row r="498" spans="1:11" hidden="1" x14ac:dyDescent="0.25">
      <c r="A498" t="s">
        <v>351</v>
      </c>
      <c r="B498" t="s">
        <v>401</v>
      </c>
      <c r="C498" t="s">
        <v>402</v>
      </c>
      <c r="E498">
        <v>299</v>
      </c>
      <c r="F498">
        <v>180</v>
      </c>
      <c r="G498">
        <v>6.2</v>
      </c>
      <c r="H498">
        <v>50000</v>
      </c>
      <c r="I498" t="s">
        <v>132</v>
      </c>
      <c r="J498">
        <v>5</v>
      </c>
      <c r="K498">
        <v>460</v>
      </c>
    </row>
    <row r="499" spans="1:11" hidden="1" x14ac:dyDescent="0.25">
      <c r="A499" t="s">
        <v>218</v>
      </c>
      <c r="B499" t="s">
        <v>1097</v>
      </c>
      <c r="C499" t="s">
        <v>330</v>
      </c>
      <c r="E499">
        <v>225</v>
      </c>
      <c r="F499">
        <v>190</v>
      </c>
      <c r="G499">
        <v>5.2</v>
      </c>
      <c r="H499">
        <v>50000</v>
      </c>
      <c r="I499" t="s">
        <v>132</v>
      </c>
      <c r="J499">
        <v>5</v>
      </c>
      <c r="K499">
        <v>350</v>
      </c>
    </row>
    <row r="500" spans="1:11" hidden="1" x14ac:dyDescent="0.25">
      <c r="A500" t="s">
        <v>1178</v>
      </c>
      <c r="B500" t="s">
        <v>1183</v>
      </c>
      <c r="C500" t="s">
        <v>1182</v>
      </c>
      <c r="E500">
        <v>250</v>
      </c>
      <c r="F500">
        <v>250</v>
      </c>
      <c r="G500">
        <v>6.5</v>
      </c>
      <c r="H500">
        <v>50000</v>
      </c>
      <c r="I500" t="s">
        <v>18</v>
      </c>
      <c r="J500">
        <v>5</v>
      </c>
      <c r="K500">
        <v>365</v>
      </c>
    </row>
    <row r="501" spans="1:11" hidden="1" x14ac:dyDescent="0.25">
      <c r="A501" t="s">
        <v>1178</v>
      </c>
      <c r="B501" t="s">
        <v>1186</v>
      </c>
      <c r="C501" t="s">
        <v>1182</v>
      </c>
      <c r="E501">
        <v>200</v>
      </c>
      <c r="F501">
        <v>230</v>
      </c>
      <c r="G501">
        <v>7</v>
      </c>
      <c r="H501">
        <v>50000</v>
      </c>
      <c r="I501" t="s">
        <v>18</v>
      </c>
      <c r="J501">
        <v>5</v>
      </c>
      <c r="K501">
        <v>430</v>
      </c>
    </row>
    <row r="502" spans="1:11" hidden="1" x14ac:dyDescent="0.25">
      <c r="A502" t="s">
        <v>1178</v>
      </c>
      <c r="B502" t="s">
        <v>1202</v>
      </c>
      <c r="C502" t="s">
        <v>1182</v>
      </c>
      <c r="E502">
        <v>200</v>
      </c>
      <c r="F502">
        <v>230</v>
      </c>
      <c r="G502">
        <v>7</v>
      </c>
      <c r="H502">
        <v>50000</v>
      </c>
      <c r="I502" t="s">
        <v>18</v>
      </c>
      <c r="J502">
        <v>5</v>
      </c>
      <c r="K502">
        <v>430</v>
      </c>
    </row>
    <row r="503" spans="1:11" hidden="1" x14ac:dyDescent="0.25">
      <c r="A503" t="s">
        <v>1178</v>
      </c>
      <c r="B503" t="s">
        <v>1214</v>
      </c>
      <c r="C503" t="s">
        <v>1182</v>
      </c>
      <c r="E503">
        <v>250</v>
      </c>
      <c r="F503">
        <v>240</v>
      </c>
      <c r="G503">
        <v>6.2</v>
      </c>
      <c r="H503">
        <v>50000</v>
      </c>
      <c r="I503" t="s">
        <v>18</v>
      </c>
      <c r="J503">
        <v>5</v>
      </c>
      <c r="K503">
        <v>365</v>
      </c>
    </row>
    <row r="504" spans="1:11" hidden="1" x14ac:dyDescent="0.25">
      <c r="A504" t="s">
        <v>1226</v>
      </c>
      <c r="B504" t="s">
        <v>1234</v>
      </c>
      <c r="C504" t="s">
        <v>54</v>
      </c>
      <c r="E504">
        <v>290</v>
      </c>
      <c r="F504">
        <v>250</v>
      </c>
      <c r="G504">
        <v>5.7</v>
      </c>
      <c r="H504">
        <v>50000</v>
      </c>
      <c r="I504" t="s">
        <v>18</v>
      </c>
      <c r="J504">
        <v>5</v>
      </c>
      <c r="K504">
        <v>362</v>
      </c>
    </row>
    <row r="505" spans="1:11" hidden="1" x14ac:dyDescent="0.25">
      <c r="A505" t="s">
        <v>1226</v>
      </c>
      <c r="B505" t="s">
        <v>1235</v>
      </c>
      <c r="C505" t="s">
        <v>1232</v>
      </c>
      <c r="E505">
        <v>272</v>
      </c>
      <c r="F505">
        <v>210</v>
      </c>
      <c r="G505">
        <v>6.6</v>
      </c>
      <c r="H505">
        <v>50000</v>
      </c>
      <c r="I505" t="s">
        <v>18</v>
      </c>
      <c r="J505">
        <v>5</v>
      </c>
      <c r="K505">
        <v>400</v>
      </c>
    </row>
    <row r="506" spans="1:11" hidden="1" x14ac:dyDescent="0.25">
      <c r="A506" t="s">
        <v>1226</v>
      </c>
      <c r="B506" t="s">
        <v>1238</v>
      </c>
      <c r="C506" t="s">
        <v>54</v>
      </c>
      <c r="E506">
        <v>290</v>
      </c>
      <c r="F506">
        <v>250</v>
      </c>
      <c r="G506">
        <v>5.7</v>
      </c>
      <c r="H506">
        <v>50000</v>
      </c>
      <c r="I506" t="s">
        <v>18</v>
      </c>
      <c r="J506">
        <v>5</v>
      </c>
      <c r="K506">
        <v>362</v>
      </c>
    </row>
    <row r="507" spans="1:11" hidden="1" x14ac:dyDescent="0.25">
      <c r="A507" t="s">
        <v>1086</v>
      </c>
      <c r="B507" t="s">
        <v>1296</v>
      </c>
      <c r="C507" t="s">
        <v>1285</v>
      </c>
      <c r="E507">
        <v>300</v>
      </c>
      <c r="F507">
        <v>235</v>
      </c>
      <c r="G507">
        <v>6</v>
      </c>
      <c r="H507">
        <v>50000</v>
      </c>
      <c r="I507" t="s">
        <v>65</v>
      </c>
      <c r="J507">
        <v>5</v>
      </c>
      <c r="K507">
        <v>400</v>
      </c>
    </row>
    <row r="508" spans="1:11" hidden="1" x14ac:dyDescent="0.25">
      <c r="A508" t="s">
        <v>52</v>
      </c>
      <c r="B508" t="s">
        <v>634</v>
      </c>
      <c r="C508" t="s">
        <v>520</v>
      </c>
      <c r="D508">
        <v>2960</v>
      </c>
      <c r="F508">
        <v>250</v>
      </c>
      <c r="G508">
        <v>5.9</v>
      </c>
      <c r="H508">
        <v>50000</v>
      </c>
      <c r="I508" t="s">
        <v>18</v>
      </c>
      <c r="J508">
        <v>4</v>
      </c>
      <c r="K508">
        <v>384</v>
      </c>
    </row>
    <row r="509" spans="1:11" hidden="1" x14ac:dyDescent="0.25">
      <c r="A509" t="s">
        <v>43</v>
      </c>
      <c r="B509" t="s">
        <v>258</v>
      </c>
      <c r="C509" t="s">
        <v>54</v>
      </c>
      <c r="D509">
        <v>3956</v>
      </c>
      <c r="E509">
        <v>282</v>
      </c>
      <c r="F509">
        <v>200</v>
      </c>
      <c r="G509">
        <v>7.2</v>
      </c>
      <c r="H509">
        <v>49400</v>
      </c>
      <c r="I509" t="s">
        <v>215</v>
      </c>
      <c r="J509">
        <v>7</v>
      </c>
      <c r="K509">
        <v>450</v>
      </c>
    </row>
    <row r="510" spans="1:11" hidden="1" x14ac:dyDescent="0.25">
      <c r="A510" t="s">
        <v>218</v>
      </c>
      <c r="B510" t="s">
        <v>1151</v>
      </c>
      <c r="C510" t="s">
        <v>1102</v>
      </c>
      <c r="D510">
        <v>1591</v>
      </c>
      <c r="E510">
        <v>227</v>
      </c>
      <c r="F510">
        <v>200</v>
      </c>
      <c r="G510">
        <v>7.8</v>
      </c>
      <c r="H510">
        <v>49000</v>
      </c>
      <c r="I510" t="s">
        <v>65</v>
      </c>
      <c r="J510">
        <v>7</v>
      </c>
      <c r="K510">
        <v>352</v>
      </c>
    </row>
    <row r="511" spans="1:11" hidden="1" x14ac:dyDescent="0.25">
      <c r="A511" t="s">
        <v>1007</v>
      </c>
      <c r="B511" t="s">
        <v>1018</v>
      </c>
      <c r="C511" t="s">
        <v>959</v>
      </c>
      <c r="D511">
        <v>6600</v>
      </c>
      <c r="E511">
        <v>445</v>
      </c>
      <c r="F511">
        <v>175</v>
      </c>
      <c r="G511">
        <v>7.4</v>
      </c>
      <c r="H511">
        <v>49000</v>
      </c>
      <c r="I511" t="s">
        <v>50</v>
      </c>
      <c r="J511">
        <v>6</v>
      </c>
      <c r="K511">
        <v>1234</v>
      </c>
    </row>
    <row r="512" spans="1:11" hidden="1" x14ac:dyDescent="0.25">
      <c r="A512" t="s">
        <v>22</v>
      </c>
      <c r="B512" t="s">
        <v>123</v>
      </c>
      <c r="C512" t="s">
        <v>45</v>
      </c>
      <c r="D512">
        <v>1991</v>
      </c>
      <c r="E512">
        <v>255</v>
      </c>
      <c r="F512">
        <v>250</v>
      </c>
      <c r="G512">
        <v>5.7</v>
      </c>
      <c r="H512">
        <v>49000</v>
      </c>
      <c r="I512" t="s">
        <v>18</v>
      </c>
      <c r="J512">
        <v>5</v>
      </c>
      <c r="K512">
        <v>500</v>
      </c>
    </row>
    <row r="513" spans="1:11" hidden="1" x14ac:dyDescent="0.25">
      <c r="A513" t="s">
        <v>24</v>
      </c>
      <c r="B513" t="s">
        <v>179</v>
      </c>
      <c r="C513" t="s">
        <v>45</v>
      </c>
      <c r="D513">
        <v>1984</v>
      </c>
      <c r="E513">
        <v>248</v>
      </c>
      <c r="F513">
        <v>250</v>
      </c>
      <c r="G513">
        <v>5.3</v>
      </c>
      <c r="H513">
        <v>49000</v>
      </c>
      <c r="I513" t="s">
        <v>18</v>
      </c>
      <c r="J513">
        <v>2</v>
      </c>
      <c r="K513">
        <v>400</v>
      </c>
    </row>
    <row r="514" spans="1:11" hidden="1" x14ac:dyDescent="0.25">
      <c r="A514" t="s">
        <v>939</v>
      </c>
      <c r="B514" t="s">
        <v>974</v>
      </c>
      <c r="C514" t="s">
        <v>923</v>
      </c>
      <c r="D514">
        <v>3600</v>
      </c>
      <c r="E514">
        <v>308</v>
      </c>
      <c r="F514">
        <v>220</v>
      </c>
      <c r="G514">
        <v>6.6</v>
      </c>
      <c r="H514">
        <v>48900</v>
      </c>
      <c r="I514" t="s">
        <v>18</v>
      </c>
      <c r="J514">
        <v>5</v>
      </c>
      <c r="K514">
        <v>366</v>
      </c>
    </row>
    <row r="515" spans="1:11" hidden="1" x14ac:dyDescent="0.25">
      <c r="A515" t="s">
        <v>787</v>
      </c>
      <c r="B515" t="s">
        <v>924</v>
      </c>
      <c r="C515" t="s">
        <v>923</v>
      </c>
      <c r="D515">
        <v>3600</v>
      </c>
      <c r="E515">
        <v>310</v>
      </c>
      <c r="F515">
        <v>210</v>
      </c>
      <c r="G515">
        <v>6.9</v>
      </c>
      <c r="H515">
        <v>48595</v>
      </c>
      <c r="I515" t="s">
        <v>18</v>
      </c>
      <c r="J515">
        <v>7</v>
      </c>
      <c r="K515">
        <v>366</v>
      </c>
    </row>
    <row r="516" spans="1:11" hidden="1" x14ac:dyDescent="0.25">
      <c r="A516" t="s">
        <v>939</v>
      </c>
      <c r="B516" t="s">
        <v>970</v>
      </c>
      <c r="C516" t="s">
        <v>971</v>
      </c>
      <c r="D516">
        <v>2800</v>
      </c>
      <c r="E516">
        <v>181</v>
      </c>
      <c r="F516">
        <v>160</v>
      </c>
      <c r="G516">
        <v>9.1</v>
      </c>
      <c r="H516">
        <v>48295</v>
      </c>
      <c r="I516" t="s">
        <v>50</v>
      </c>
      <c r="J516">
        <v>5</v>
      </c>
      <c r="K516">
        <v>500</v>
      </c>
    </row>
    <row r="517" spans="1:11" hidden="1" x14ac:dyDescent="0.25">
      <c r="A517" t="s">
        <v>218</v>
      </c>
      <c r="B517" t="s">
        <v>1122</v>
      </c>
      <c r="C517" t="s">
        <v>1123</v>
      </c>
      <c r="D517">
        <v>1591</v>
      </c>
      <c r="E517">
        <v>227</v>
      </c>
      <c r="F517">
        <v>200</v>
      </c>
      <c r="G517">
        <v>7.9</v>
      </c>
      <c r="H517">
        <v>48000</v>
      </c>
      <c r="I517" t="s">
        <v>65</v>
      </c>
      <c r="J517">
        <v>7</v>
      </c>
      <c r="K517">
        <v>352</v>
      </c>
    </row>
    <row r="518" spans="1:11" hidden="1" x14ac:dyDescent="0.25">
      <c r="A518" t="s">
        <v>1086</v>
      </c>
      <c r="B518" t="s">
        <v>1286</v>
      </c>
      <c r="C518" t="s">
        <v>1285</v>
      </c>
      <c r="E518">
        <v>300</v>
      </c>
      <c r="F518">
        <v>210</v>
      </c>
      <c r="G518">
        <v>6.5</v>
      </c>
      <c r="H518">
        <v>48000</v>
      </c>
      <c r="I518" t="s">
        <v>65</v>
      </c>
      <c r="J518">
        <v>7</v>
      </c>
      <c r="K518">
        <v>400</v>
      </c>
    </row>
    <row r="519" spans="1:11" hidden="1" x14ac:dyDescent="0.25">
      <c r="A519" t="s">
        <v>1007</v>
      </c>
      <c r="B519" t="s">
        <v>1030</v>
      </c>
      <c r="C519" t="s">
        <v>1015</v>
      </c>
      <c r="D519">
        <v>2700</v>
      </c>
      <c r="E519">
        <v>310</v>
      </c>
      <c r="F519">
        <v>190</v>
      </c>
      <c r="G519">
        <v>7.5</v>
      </c>
      <c r="H519">
        <v>48000</v>
      </c>
      <c r="I519" t="s">
        <v>18</v>
      </c>
      <c r="J519">
        <v>5</v>
      </c>
      <c r="K519">
        <v>583</v>
      </c>
    </row>
    <row r="520" spans="1:11" hidden="1" x14ac:dyDescent="0.25">
      <c r="A520" t="s">
        <v>22</v>
      </c>
      <c r="B520" t="s">
        <v>126</v>
      </c>
      <c r="C520" t="s">
        <v>45</v>
      </c>
      <c r="D520">
        <v>1991</v>
      </c>
      <c r="E520">
        <v>382</v>
      </c>
      <c r="F520">
        <v>250</v>
      </c>
      <c r="G520">
        <v>4.3</v>
      </c>
      <c r="H520">
        <v>48000</v>
      </c>
      <c r="I520" t="s">
        <v>18</v>
      </c>
      <c r="J520">
        <v>5</v>
      </c>
      <c r="K520">
        <v>500</v>
      </c>
    </row>
    <row r="521" spans="1:11" hidden="1" x14ac:dyDescent="0.25">
      <c r="A521" t="s">
        <v>351</v>
      </c>
      <c r="B521" t="s">
        <v>400</v>
      </c>
      <c r="C521" t="s">
        <v>355</v>
      </c>
      <c r="D521">
        <v>1984</v>
      </c>
      <c r="E521">
        <v>255</v>
      </c>
      <c r="F521">
        <v>250</v>
      </c>
      <c r="G521">
        <v>5.6</v>
      </c>
      <c r="H521">
        <v>48000</v>
      </c>
      <c r="I521" t="s">
        <v>18</v>
      </c>
      <c r="J521">
        <v>5</v>
      </c>
      <c r="K521">
        <v>350</v>
      </c>
    </row>
    <row r="522" spans="1:11" x14ac:dyDescent="0.25">
      <c r="A522" t="s">
        <v>27</v>
      </c>
      <c r="B522" t="s">
        <v>183</v>
      </c>
      <c r="C522" t="s">
        <v>45</v>
      </c>
      <c r="D522">
        <v>1998</v>
      </c>
      <c r="E522">
        <v>255</v>
      </c>
      <c r="F522">
        <v>250</v>
      </c>
      <c r="G522">
        <v>5.8</v>
      </c>
      <c r="H522">
        <v>48000</v>
      </c>
      <c r="I522" t="s">
        <v>18</v>
      </c>
      <c r="J522">
        <v>4</v>
      </c>
      <c r="K522">
        <v>400</v>
      </c>
    </row>
    <row r="523" spans="1:11" hidden="1" x14ac:dyDescent="0.25">
      <c r="A523" t="s">
        <v>52</v>
      </c>
      <c r="B523" t="s">
        <v>598</v>
      </c>
      <c r="C523" t="s">
        <v>520</v>
      </c>
      <c r="D523">
        <v>2997</v>
      </c>
      <c r="F523">
        <v>250</v>
      </c>
      <c r="G523">
        <v>4.2</v>
      </c>
      <c r="H523">
        <v>48000</v>
      </c>
      <c r="I523" t="s">
        <v>18</v>
      </c>
      <c r="J523">
        <v>2</v>
      </c>
      <c r="K523">
        <v>475</v>
      </c>
    </row>
    <row r="524" spans="1:11" hidden="1" x14ac:dyDescent="0.25">
      <c r="A524" t="s">
        <v>1398</v>
      </c>
      <c r="B524" t="s">
        <v>1431</v>
      </c>
      <c r="C524" t="s">
        <v>1410</v>
      </c>
      <c r="D524">
        <v>3200</v>
      </c>
      <c r="E524">
        <v>189</v>
      </c>
      <c r="F524">
        <v>180</v>
      </c>
      <c r="G524">
        <v>10.5</v>
      </c>
      <c r="H524">
        <v>47500</v>
      </c>
      <c r="I524" t="s">
        <v>50</v>
      </c>
      <c r="J524">
        <v>7</v>
      </c>
      <c r="K524">
        <v>441</v>
      </c>
    </row>
    <row r="525" spans="1:11" hidden="1" x14ac:dyDescent="0.25">
      <c r="A525" t="s">
        <v>1398</v>
      </c>
      <c r="B525" t="s">
        <v>1445</v>
      </c>
      <c r="C525" t="s">
        <v>1410</v>
      </c>
      <c r="D525">
        <v>3200</v>
      </c>
      <c r="E525">
        <v>189</v>
      </c>
      <c r="F525">
        <v>180</v>
      </c>
      <c r="G525">
        <v>10.5</v>
      </c>
      <c r="H525">
        <v>47500</v>
      </c>
      <c r="I525" t="s">
        <v>50</v>
      </c>
      <c r="J525">
        <v>7</v>
      </c>
      <c r="K525">
        <v>441</v>
      </c>
    </row>
    <row r="526" spans="1:11" hidden="1" x14ac:dyDescent="0.25">
      <c r="A526" t="s">
        <v>910</v>
      </c>
      <c r="B526" t="s">
        <v>1548</v>
      </c>
      <c r="C526" t="s">
        <v>1549</v>
      </c>
      <c r="D526">
        <v>3000</v>
      </c>
      <c r="E526">
        <v>250</v>
      </c>
      <c r="F526">
        <v>210</v>
      </c>
      <c r="G526">
        <v>7.5</v>
      </c>
      <c r="H526">
        <v>47500</v>
      </c>
      <c r="I526" t="s">
        <v>18</v>
      </c>
      <c r="J526">
        <v>7</v>
      </c>
      <c r="K526">
        <v>400</v>
      </c>
    </row>
    <row r="527" spans="1:11" hidden="1" x14ac:dyDescent="0.25">
      <c r="A527" t="s">
        <v>1398</v>
      </c>
      <c r="B527" t="s">
        <v>1466</v>
      </c>
      <c r="C527" t="s">
        <v>1410</v>
      </c>
      <c r="D527">
        <v>3200</v>
      </c>
      <c r="E527">
        <v>189</v>
      </c>
      <c r="F527">
        <v>180</v>
      </c>
      <c r="G527">
        <v>10.5</v>
      </c>
      <c r="H527">
        <v>47500</v>
      </c>
      <c r="I527" t="s">
        <v>50</v>
      </c>
      <c r="J527">
        <v>5</v>
      </c>
      <c r="K527">
        <v>441</v>
      </c>
    </row>
    <row r="528" spans="1:11" hidden="1" x14ac:dyDescent="0.25">
      <c r="A528" t="s">
        <v>871</v>
      </c>
      <c r="B528" t="s">
        <v>881</v>
      </c>
      <c r="C528" t="s">
        <v>876</v>
      </c>
      <c r="E528">
        <v>346</v>
      </c>
      <c r="F528">
        <v>217</v>
      </c>
      <c r="G528">
        <v>5</v>
      </c>
      <c r="H528">
        <v>47490</v>
      </c>
      <c r="I528" t="s">
        <v>132</v>
      </c>
      <c r="J528">
        <v>5</v>
      </c>
      <c r="K528">
        <v>498</v>
      </c>
    </row>
    <row r="529" spans="1:11" hidden="1" x14ac:dyDescent="0.25">
      <c r="A529" t="s">
        <v>218</v>
      </c>
      <c r="B529" t="s">
        <v>1128</v>
      </c>
      <c r="C529" t="s">
        <v>513</v>
      </c>
      <c r="D529">
        <v>3500</v>
      </c>
      <c r="E529">
        <v>290</v>
      </c>
      <c r="F529">
        <v>220</v>
      </c>
      <c r="G529">
        <v>8</v>
      </c>
      <c r="H529">
        <v>47000</v>
      </c>
      <c r="I529" t="s">
        <v>18</v>
      </c>
      <c r="J529">
        <v>8</v>
      </c>
      <c r="K529">
        <v>355</v>
      </c>
    </row>
    <row r="530" spans="1:11" hidden="1" x14ac:dyDescent="0.25">
      <c r="A530" t="s">
        <v>218</v>
      </c>
      <c r="B530" t="s">
        <v>1101</v>
      </c>
      <c r="C530" t="s">
        <v>1102</v>
      </c>
      <c r="D530">
        <v>1591</v>
      </c>
      <c r="E530">
        <v>227</v>
      </c>
      <c r="F530">
        <v>200</v>
      </c>
      <c r="G530">
        <v>7.9</v>
      </c>
      <c r="H530">
        <v>47000</v>
      </c>
      <c r="I530" t="s">
        <v>65</v>
      </c>
      <c r="J530">
        <v>7</v>
      </c>
      <c r="K530">
        <v>352</v>
      </c>
    </row>
    <row r="531" spans="1:11" hidden="1" x14ac:dyDescent="0.25">
      <c r="A531" t="s">
        <v>218</v>
      </c>
      <c r="B531" t="s">
        <v>1138</v>
      </c>
      <c r="C531" t="s">
        <v>1102</v>
      </c>
      <c r="D531">
        <v>1591</v>
      </c>
      <c r="E531">
        <v>227</v>
      </c>
      <c r="F531">
        <v>200</v>
      </c>
      <c r="G531">
        <v>7.9</v>
      </c>
      <c r="H531">
        <v>47000</v>
      </c>
      <c r="I531" t="s">
        <v>65</v>
      </c>
      <c r="J531">
        <v>7</v>
      </c>
      <c r="K531">
        <v>352</v>
      </c>
    </row>
    <row r="532" spans="1:11" hidden="1" x14ac:dyDescent="0.25">
      <c r="A532" t="s">
        <v>1086</v>
      </c>
      <c r="B532" t="s">
        <v>1125</v>
      </c>
      <c r="C532" t="s">
        <v>1088</v>
      </c>
      <c r="E532">
        <v>300</v>
      </c>
      <c r="F532">
        <v>235</v>
      </c>
      <c r="G532">
        <v>6</v>
      </c>
      <c r="H532">
        <v>47000</v>
      </c>
      <c r="I532" t="s">
        <v>65</v>
      </c>
      <c r="J532">
        <v>5</v>
      </c>
      <c r="K532">
        <v>520</v>
      </c>
    </row>
    <row r="533" spans="1:11" hidden="1" x14ac:dyDescent="0.25">
      <c r="A533" t="s">
        <v>52</v>
      </c>
      <c r="B533" t="s">
        <v>623</v>
      </c>
      <c r="C533" t="s">
        <v>513</v>
      </c>
      <c r="D533">
        <v>3498</v>
      </c>
      <c r="F533">
        <v>195</v>
      </c>
      <c r="G533">
        <v>7.6</v>
      </c>
      <c r="H533">
        <v>47000</v>
      </c>
      <c r="I533" t="s">
        <v>18</v>
      </c>
      <c r="J533">
        <v>4</v>
      </c>
      <c r="K533">
        <v>325</v>
      </c>
    </row>
    <row r="534" spans="1:11" hidden="1" x14ac:dyDescent="0.25">
      <c r="A534" t="s">
        <v>939</v>
      </c>
      <c r="B534" t="s">
        <v>972</v>
      </c>
      <c r="C534" t="s">
        <v>923</v>
      </c>
      <c r="D534">
        <v>3600</v>
      </c>
      <c r="E534">
        <v>310</v>
      </c>
      <c r="F534">
        <v>210</v>
      </c>
      <c r="G534">
        <v>7</v>
      </c>
      <c r="H534">
        <v>46600</v>
      </c>
      <c r="I534" t="s">
        <v>18</v>
      </c>
      <c r="J534">
        <v>7</v>
      </c>
      <c r="K534">
        <v>360</v>
      </c>
    </row>
    <row r="535" spans="1:11" hidden="1" x14ac:dyDescent="0.25">
      <c r="A535" t="s">
        <v>787</v>
      </c>
      <c r="B535" t="s">
        <v>790</v>
      </c>
      <c r="C535" t="s">
        <v>791</v>
      </c>
      <c r="D535">
        <v>2700</v>
      </c>
      <c r="E535">
        <v>325</v>
      </c>
      <c r="F535">
        <v>260</v>
      </c>
      <c r="G535">
        <v>4.9000000000000004</v>
      </c>
      <c r="H535">
        <v>46595</v>
      </c>
      <c r="I535" t="s">
        <v>18</v>
      </c>
      <c r="J535">
        <v>5</v>
      </c>
      <c r="K535">
        <v>500</v>
      </c>
    </row>
    <row r="536" spans="1:11" hidden="1" x14ac:dyDescent="0.25">
      <c r="A536" t="s">
        <v>886</v>
      </c>
      <c r="B536" t="s">
        <v>907</v>
      </c>
      <c r="C536" t="s">
        <v>908</v>
      </c>
      <c r="E536">
        <v>240</v>
      </c>
      <c r="F536">
        <v>200</v>
      </c>
      <c r="G536">
        <v>7.3</v>
      </c>
      <c r="H536">
        <v>46500</v>
      </c>
      <c r="I536" t="s">
        <v>65</v>
      </c>
      <c r="J536">
        <v>5</v>
      </c>
      <c r="K536">
        <v>270</v>
      </c>
    </row>
    <row r="537" spans="1:11" hidden="1" x14ac:dyDescent="0.25">
      <c r="A537" t="s">
        <v>1226</v>
      </c>
      <c r="B537" t="s">
        <v>1254</v>
      </c>
      <c r="C537" t="s">
        <v>54</v>
      </c>
      <c r="D537">
        <v>3500</v>
      </c>
      <c r="E537">
        <v>290</v>
      </c>
      <c r="F537">
        <v>250</v>
      </c>
      <c r="G537">
        <v>5.7</v>
      </c>
      <c r="H537">
        <v>46000</v>
      </c>
      <c r="I537" t="s">
        <v>18</v>
      </c>
      <c r="J537">
        <v>5</v>
      </c>
      <c r="K537">
        <v>362</v>
      </c>
    </row>
    <row r="538" spans="1:11" hidden="1" x14ac:dyDescent="0.25">
      <c r="A538" t="s">
        <v>22</v>
      </c>
      <c r="B538" t="s">
        <v>127</v>
      </c>
      <c r="C538" t="s">
        <v>45</v>
      </c>
      <c r="D538">
        <v>1991</v>
      </c>
      <c r="E538">
        <v>255</v>
      </c>
      <c r="F538">
        <v>250</v>
      </c>
      <c r="G538">
        <v>6.1</v>
      </c>
      <c r="H538">
        <v>46000</v>
      </c>
      <c r="I538" t="s">
        <v>18</v>
      </c>
      <c r="J538">
        <v>5</v>
      </c>
      <c r="K538">
        <v>500</v>
      </c>
    </row>
    <row r="539" spans="1:11" hidden="1" x14ac:dyDescent="0.25">
      <c r="A539" t="s">
        <v>351</v>
      </c>
      <c r="B539" t="s">
        <v>361</v>
      </c>
      <c r="C539" t="s">
        <v>355</v>
      </c>
      <c r="D539">
        <v>1984</v>
      </c>
      <c r="E539">
        <v>215</v>
      </c>
      <c r="F539">
        <v>250</v>
      </c>
      <c r="G539">
        <v>5.6</v>
      </c>
      <c r="H539">
        <v>46000</v>
      </c>
      <c r="I539" t="s">
        <v>18</v>
      </c>
      <c r="J539">
        <v>5</v>
      </c>
      <c r="K539">
        <v>350</v>
      </c>
    </row>
    <row r="540" spans="1:11" hidden="1" x14ac:dyDescent="0.25">
      <c r="A540" t="s">
        <v>52</v>
      </c>
      <c r="B540" t="s">
        <v>653</v>
      </c>
      <c r="C540" t="s">
        <v>625</v>
      </c>
      <c r="D540">
        <v>1497</v>
      </c>
      <c r="F540">
        <v>190</v>
      </c>
      <c r="G540">
        <v>8</v>
      </c>
      <c r="H540">
        <v>46000</v>
      </c>
      <c r="I540" t="s">
        <v>65</v>
      </c>
      <c r="J540">
        <v>5</v>
      </c>
      <c r="K540">
        <v>305</v>
      </c>
    </row>
    <row r="541" spans="1:11" hidden="1" x14ac:dyDescent="0.25">
      <c r="A541" t="s">
        <v>218</v>
      </c>
      <c r="B541" t="s">
        <v>1118</v>
      </c>
      <c r="C541" t="s">
        <v>330</v>
      </c>
      <c r="E541">
        <v>225</v>
      </c>
      <c r="F541">
        <v>190</v>
      </c>
      <c r="G541">
        <v>5.2</v>
      </c>
      <c r="H541">
        <v>46000</v>
      </c>
      <c r="I541" t="s">
        <v>132</v>
      </c>
      <c r="J541">
        <v>5</v>
      </c>
      <c r="K541">
        <v>350</v>
      </c>
    </row>
    <row r="542" spans="1:11" hidden="1" x14ac:dyDescent="0.25">
      <c r="A542" t="s">
        <v>52</v>
      </c>
      <c r="B542" t="s">
        <v>557</v>
      </c>
      <c r="C542" t="s">
        <v>537</v>
      </c>
      <c r="D542">
        <v>3696</v>
      </c>
      <c r="F542">
        <v>250</v>
      </c>
      <c r="G542">
        <v>5.2</v>
      </c>
      <c r="H542">
        <v>45790</v>
      </c>
      <c r="I542" t="s">
        <v>18</v>
      </c>
      <c r="J542">
        <v>2</v>
      </c>
      <c r="K542">
        <v>374</v>
      </c>
    </row>
    <row r="543" spans="1:11" hidden="1" x14ac:dyDescent="0.25">
      <c r="A543" t="s">
        <v>218</v>
      </c>
      <c r="B543" t="s">
        <v>1148</v>
      </c>
      <c r="C543" t="s">
        <v>513</v>
      </c>
      <c r="D543">
        <v>3500</v>
      </c>
      <c r="E543">
        <v>290</v>
      </c>
      <c r="F543">
        <v>220</v>
      </c>
      <c r="G543">
        <v>8</v>
      </c>
      <c r="H543">
        <v>45500</v>
      </c>
      <c r="I543" t="s">
        <v>18</v>
      </c>
      <c r="J543">
        <v>8</v>
      </c>
      <c r="K543">
        <v>355</v>
      </c>
    </row>
    <row r="544" spans="1:11" hidden="1" x14ac:dyDescent="0.25">
      <c r="A544" t="s">
        <v>939</v>
      </c>
      <c r="B544" t="s">
        <v>958</v>
      </c>
      <c r="C544" t="s">
        <v>959</v>
      </c>
      <c r="D544">
        <v>6600</v>
      </c>
      <c r="E544">
        <v>445</v>
      </c>
      <c r="F544">
        <v>160</v>
      </c>
      <c r="G544">
        <v>8.5</v>
      </c>
      <c r="H544">
        <v>45500</v>
      </c>
      <c r="I544" t="s">
        <v>50</v>
      </c>
      <c r="J544">
        <v>6</v>
      </c>
      <c r="K544">
        <v>1234</v>
      </c>
    </row>
    <row r="545" spans="1:11" hidden="1" x14ac:dyDescent="0.25">
      <c r="A545" t="s">
        <v>52</v>
      </c>
      <c r="B545" t="s">
        <v>682</v>
      </c>
      <c r="C545" t="s">
        <v>683</v>
      </c>
      <c r="D545">
        <v>4169</v>
      </c>
      <c r="F545">
        <v>160</v>
      </c>
      <c r="G545">
        <v>12</v>
      </c>
      <c r="H545">
        <v>45000</v>
      </c>
      <c r="I545" t="s">
        <v>50</v>
      </c>
      <c r="J545">
        <v>7</v>
      </c>
      <c r="K545">
        <v>330</v>
      </c>
    </row>
    <row r="546" spans="1:11" hidden="1" x14ac:dyDescent="0.25">
      <c r="A546" t="s">
        <v>1007</v>
      </c>
      <c r="B546" t="s">
        <v>1052</v>
      </c>
      <c r="C546" t="s">
        <v>1034</v>
      </c>
      <c r="D546">
        <v>3564</v>
      </c>
      <c r="E546">
        <v>310</v>
      </c>
      <c r="F546">
        <v>210</v>
      </c>
      <c r="G546">
        <v>6.5</v>
      </c>
      <c r="H546">
        <v>45000</v>
      </c>
      <c r="I546" t="s">
        <v>18</v>
      </c>
      <c r="J546">
        <v>7</v>
      </c>
      <c r="K546">
        <v>366</v>
      </c>
    </row>
    <row r="547" spans="1:11" hidden="1" x14ac:dyDescent="0.25">
      <c r="A547" t="s">
        <v>19</v>
      </c>
      <c r="B547" t="s">
        <v>1325</v>
      </c>
      <c r="C547" t="s">
        <v>1326</v>
      </c>
      <c r="E547">
        <v>350</v>
      </c>
      <c r="F547">
        <v>200</v>
      </c>
      <c r="G547">
        <v>6</v>
      </c>
      <c r="H547">
        <v>45000</v>
      </c>
      <c r="I547" t="s">
        <v>18</v>
      </c>
      <c r="J547">
        <v>7</v>
      </c>
      <c r="K547">
        <v>460</v>
      </c>
    </row>
    <row r="548" spans="1:11" hidden="1" x14ac:dyDescent="0.25">
      <c r="A548" t="s">
        <v>939</v>
      </c>
      <c r="B548" t="s">
        <v>979</v>
      </c>
      <c r="C548" t="s">
        <v>923</v>
      </c>
      <c r="D548">
        <v>3600</v>
      </c>
      <c r="E548">
        <v>308</v>
      </c>
      <c r="F548">
        <v>220</v>
      </c>
      <c r="G548">
        <v>6.6</v>
      </c>
      <c r="H548">
        <v>45000</v>
      </c>
      <c r="I548" t="s">
        <v>18</v>
      </c>
      <c r="J548">
        <v>5</v>
      </c>
      <c r="K548">
        <v>366</v>
      </c>
    </row>
    <row r="549" spans="1:11" hidden="1" x14ac:dyDescent="0.25">
      <c r="A549" t="s">
        <v>52</v>
      </c>
      <c r="B549" t="s">
        <v>514</v>
      </c>
      <c r="C549" t="s">
        <v>513</v>
      </c>
      <c r="D549">
        <v>3498</v>
      </c>
      <c r="F549">
        <v>220</v>
      </c>
      <c r="G549">
        <v>6.2</v>
      </c>
      <c r="H549">
        <v>45000</v>
      </c>
      <c r="I549" t="s">
        <v>18</v>
      </c>
      <c r="J549">
        <v>5</v>
      </c>
      <c r="K549">
        <v>353</v>
      </c>
    </row>
    <row r="550" spans="1:11" hidden="1" x14ac:dyDescent="0.25">
      <c r="A550" t="s">
        <v>351</v>
      </c>
      <c r="B550" t="s">
        <v>440</v>
      </c>
      <c r="C550" t="s">
        <v>369</v>
      </c>
      <c r="D550">
        <v>2967</v>
      </c>
      <c r="E550">
        <v>231</v>
      </c>
      <c r="F550">
        <v>191</v>
      </c>
      <c r="G550">
        <v>7.9</v>
      </c>
      <c r="H550">
        <v>45000</v>
      </c>
      <c r="I550" t="s">
        <v>50</v>
      </c>
      <c r="J550">
        <v>5</v>
      </c>
      <c r="K550">
        <v>580</v>
      </c>
    </row>
    <row r="551" spans="1:11" hidden="1" x14ac:dyDescent="0.25">
      <c r="A551" t="s">
        <v>52</v>
      </c>
      <c r="B551" t="s">
        <v>689</v>
      </c>
      <c r="C551" t="s">
        <v>690</v>
      </c>
      <c r="D551">
        <v>2960</v>
      </c>
      <c r="F551">
        <v>215</v>
      </c>
      <c r="G551">
        <v>6.5</v>
      </c>
      <c r="H551">
        <v>45000</v>
      </c>
      <c r="I551" t="s">
        <v>18</v>
      </c>
      <c r="J551">
        <v>5</v>
      </c>
      <c r="K551">
        <v>340</v>
      </c>
    </row>
    <row r="552" spans="1:11" hidden="1" x14ac:dyDescent="0.25">
      <c r="A552" t="s">
        <v>1007</v>
      </c>
      <c r="B552" t="s">
        <v>1028</v>
      </c>
      <c r="C552" t="s">
        <v>1015</v>
      </c>
      <c r="D552">
        <v>2700</v>
      </c>
      <c r="E552">
        <v>310</v>
      </c>
      <c r="F552">
        <v>190</v>
      </c>
      <c r="G552">
        <v>7.6</v>
      </c>
      <c r="H552">
        <v>45000</v>
      </c>
      <c r="I552" t="s">
        <v>18</v>
      </c>
      <c r="J552">
        <v>5</v>
      </c>
      <c r="K552">
        <v>583</v>
      </c>
    </row>
    <row r="553" spans="1:11" hidden="1" x14ac:dyDescent="0.25">
      <c r="A553" t="s">
        <v>19</v>
      </c>
      <c r="B553" t="s">
        <v>1356</v>
      </c>
      <c r="C553" t="s">
        <v>1357</v>
      </c>
      <c r="D553">
        <v>2700</v>
      </c>
      <c r="E553">
        <v>392</v>
      </c>
      <c r="F553">
        <v>200</v>
      </c>
      <c r="G553">
        <v>6</v>
      </c>
      <c r="H553">
        <v>45000</v>
      </c>
      <c r="I553" t="s">
        <v>18</v>
      </c>
      <c r="J553">
        <v>5</v>
      </c>
      <c r="K553">
        <v>583</v>
      </c>
    </row>
    <row r="554" spans="1:11" hidden="1" x14ac:dyDescent="0.25">
      <c r="A554" t="s">
        <v>19</v>
      </c>
      <c r="B554" t="s">
        <v>1394</v>
      </c>
      <c r="C554" t="s">
        <v>1395</v>
      </c>
      <c r="D554">
        <v>2700</v>
      </c>
      <c r="E554">
        <v>310</v>
      </c>
      <c r="F554">
        <v>200</v>
      </c>
      <c r="G554">
        <v>6.7</v>
      </c>
      <c r="H554">
        <v>45000</v>
      </c>
      <c r="I554" t="s">
        <v>18</v>
      </c>
      <c r="J554">
        <v>5</v>
      </c>
      <c r="K554">
        <v>542</v>
      </c>
    </row>
    <row r="555" spans="1:11" hidden="1" x14ac:dyDescent="0.25">
      <c r="A555" t="s">
        <v>1398</v>
      </c>
      <c r="B555" t="s">
        <v>1414</v>
      </c>
      <c r="C555" t="s">
        <v>1415</v>
      </c>
      <c r="D555">
        <v>2000</v>
      </c>
      <c r="E555">
        <v>291</v>
      </c>
      <c r="F555">
        <v>240</v>
      </c>
      <c r="G555">
        <v>5</v>
      </c>
      <c r="H555">
        <v>45000</v>
      </c>
      <c r="I555" t="s">
        <v>18</v>
      </c>
      <c r="J555">
        <v>5</v>
      </c>
      <c r="K555">
        <v>407</v>
      </c>
    </row>
    <row r="556" spans="1:11" x14ac:dyDescent="0.25">
      <c r="A556" t="s">
        <v>27</v>
      </c>
      <c r="B556" t="s">
        <v>181</v>
      </c>
      <c r="C556" t="s">
        <v>45</v>
      </c>
      <c r="D556">
        <v>1998</v>
      </c>
      <c r="E556">
        <v>255</v>
      </c>
      <c r="F556">
        <v>250</v>
      </c>
      <c r="G556">
        <v>5.6</v>
      </c>
      <c r="H556">
        <v>45000</v>
      </c>
      <c r="I556" t="s">
        <v>18</v>
      </c>
      <c r="J556">
        <v>5</v>
      </c>
      <c r="K556">
        <v>400</v>
      </c>
    </row>
    <row r="557" spans="1:11" hidden="1" x14ac:dyDescent="0.25">
      <c r="A557" t="s">
        <v>351</v>
      </c>
      <c r="B557" t="s">
        <v>486</v>
      </c>
      <c r="C557" t="s">
        <v>437</v>
      </c>
      <c r="D557">
        <v>1984</v>
      </c>
      <c r="E557">
        <v>210</v>
      </c>
      <c r="F557">
        <v>250</v>
      </c>
      <c r="G557">
        <v>4.9000000000000004</v>
      </c>
      <c r="H557">
        <v>45000</v>
      </c>
      <c r="I557" t="s">
        <v>18</v>
      </c>
      <c r="J557">
        <v>5</v>
      </c>
      <c r="K557">
        <v>420</v>
      </c>
    </row>
    <row r="558" spans="1:11" hidden="1" x14ac:dyDescent="0.25">
      <c r="A558" t="s">
        <v>351</v>
      </c>
      <c r="B558" t="s">
        <v>465</v>
      </c>
      <c r="C558" t="s">
        <v>466</v>
      </c>
      <c r="D558">
        <v>1598</v>
      </c>
      <c r="E558">
        <v>272</v>
      </c>
      <c r="F558">
        <v>200</v>
      </c>
      <c r="G558">
        <v>4.0999999999999996</v>
      </c>
      <c r="H558">
        <v>45000</v>
      </c>
      <c r="I558" t="s">
        <v>18</v>
      </c>
      <c r="J558">
        <v>5</v>
      </c>
      <c r="K558">
        <v>400</v>
      </c>
    </row>
    <row r="559" spans="1:11" hidden="1" x14ac:dyDescent="0.25">
      <c r="A559" t="s">
        <v>1226</v>
      </c>
      <c r="B559" t="s">
        <v>1247</v>
      </c>
      <c r="C559" t="s">
        <v>1248</v>
      </c>
      <c r="D559">
        <v>1500</v>
      </c>
      <c r="E559">
        <v>272</v>
      </c>
      <c r="F559">
        <v>210</v>
      </c>
      <c r="G559">
        <v>6.6</v>
      </c>
      <c r="H559">
        <v>45000</v>
      </c>
      <c r="I559" t="s">
        <v>18</v>
      </c>
      <c r="J559">
        <v>5</v>
      </c>
      <c r="K559">
        <v>400</v>
      </c>
    </row>
    <row r="560" spans="1:11" hidden="1" x14ac:dyDescent="0.25">
      <c r="A560" t="s">
        <v>351</v>
      </c>
      <c r="B560" t="s">
        <v>388</v>
      </c>
      <c r="C560" t="s">
        <v>132</v>
      </c>
      <c r="E560">
        <v>236</v>
      </c>
      <c r="F560">
        <v>180</v>
      </c>
      <c r="G560">
        <v>8.4</v>
      </c>
      <c r="H560">
        <v>45000</v>
      </c>
      <c r="I560" t="s">
        <v>132</v>
      </c>
      <c r="J560">
        <v>5</v>
      </c>
      <c r="K560">
        <v>310</v>
      </c>
    </row>
    <row r="561" spans="1:11" hidden="1" x14ac:dyDescent="0.25">
      <c r="A561" t="s">
        <v>351</v>
      </c>
      <c r="B561" t="s">
        <v>452</v>
      </c>
      <c r="C561" t="s">
        <v>132</v>
      </c>
      <c r="E561">
        <v>201</v>
      </c>
      <c r="F561">
        <v>180</v>
      </c>
      <c r="G561">
        <v>7.8</v>
      </c>
      <c r="H561">
        <v>45000</v>
      </c>
      <c r="I561" t="s">
        <v>132</v>
      </c>
      <c r="J561">
        <v>5</v>
      </c>
      <c r="K561">
        <v>310</v>
      </c>
    </row>
    <row r="562" spans="1:11" hidden="1" x14ac:dyDescent="0.25">
      <c r="A562" t="s">
        <v>351</v>
      </c>
      <c r="B562" t="s">
        <v>476</v>
      </c>
      <c r="C562" t="s">
        <v>132</v>
      </c>
      <c r="E562">
        <v>299</v>
      </c>
      <c r="F562">
        <v>180</v>
      </c>
      <c r="G562">
        <v>6.2</v>
      </c>
      <c r="H562">
        <v>45000</v>
      </c>
      <c r="I562" t="s">
        <v>132</v>
      </c>
      <c r="J562">
        <v>5</v>
      </c>
      <c r="K562">
        <v>310</v>
      </c>
    </row>
    <row r="563" spans="1:11" hidden="1" x14ac:dyDescent="0.25">
      <c r="A563" t="s">
        <v>1086</v>
      </c>
      <c r="B563" t="s">
        <v>1136</v>
      </c>
      <c r="C563" t="s">
        <v>1137</v>
      </c>
      <c r="E563">
        <v>300</v>
      </c>
      <c r="F563">
        <v>235</v>
      </c>
      <c r="G563">
        <v>6</v>
      </c>
      <c r="H563">
        <v>45000</v>
      </c>
      <c r="I563" t="s">
        <v>65</v>
      </c>
      <c r="J563">
        <v>5</v>
      </c>
      <c r="K563">
        <v>520</v>
      </c>
    </row>
    <row r="564" spans="1:11" hidden="1" x14ac:dyDescent="0.25">
      <c r="A564" t="s">
        <v>1178</v>
      </c>
      <c r="B564" t="s">
        <v>1181</v>
      </c>
      <c r="C564" t="s">
        <v>1182</v>
      </c>
      <c r="E564">
        <v>250</v>
      </c>
      <c r="F564">
        <v>250</v>
      </c>
      <c r="G564">
        <v>6.5</v>
      </c>
      <c r="H564">
        <v>45000</v>
      </c>
      <c r="I564" t="s">
        <v>18</v>
      </c>
      <c r="J564">
        <v>5</v>
      </c>
      <c r="K564">
        <v>365</v>
      </c>
    </row>
    <row r="565" spans="1:11" hidden="1" x14ac:dyDescent="0.25">
      <c r="A565" t="s">
        <v>1226</v>
      </c>
      <c r="B565" t="s">
        <v>1231</v>
      </c>
      <c r="C565" t="s">
        <v>1232</v>
      </c>
      <c r="E565">
        <v>272</v>
      </c>
      <c r="F565">
        <v>210</v>
      </c>
      <c r="G565">
        <v>6.6</v>
      </c>
      <c r="H565">
        <v>45000</v>
      </c>
      <c r="I565" t="s">
        <v>18</v>
      </c>
      <c r="J565">
        <v>5</v>
      </c>
      <c r="K565">
        <v>400</v>
      </c>
    </row>
    <row r="566" spans="1:11" hidden="1" x14ac:dyDescent="0.25">
      <c r="A566" t="s">
        <v>1086</v>
      </c>
      <c r="B566" t="s">
        <v>1284</v>
      </c>
      <c r="C566" t="s">
        <v>1285</v>
      </c>
      <c r="E566">
        <v>300</v>
      </c>
      <c r="F566">
        <v>235</v>
      </c>
      <c r="G566">
        <v>6</v>
      </c>
      <c r="H566">
        <v>45000</v>
      </c>
      <c r="I566" t="s">
        <v>65</v>
      </c>
      <c r="J566">
        <v>5</v>
      </c>
      <c r="K566">
        <v>400</v>
      </c>
    </row>
    <row r="567" spans="1:11" hidden="1" x14ac:dyDescent="0.25">
      <c r="A567" t="s">
        <v>1086</v>
      </c>
      <c r="B567" t="s">
        <v>1292</v>
      </c>
      <c r="C567" t="s">
        <v>330</v>
      </c>
      <c r="E567">
        <v>136</v>
      </c>
      <c r="F567">
        <v>130</v>
      </c>
      <c r="G567">
        <v>9.5</v>
      </c>
      <c r="H567">
        <v>45000</v>
      </c>
      <c r="I567" t="s">
        <v>132</v>
      </c>
      <c r="J567">
        <v>5</v>
      </c>
      <c r="K567">
        <v>260</v>
      </c>
    </row>
    <row r="568" spans="1:11" hidden="1" x14ac:dyDescent="0.25">
      <c r="A568" t="s">
        <v>1086</v>
      </c>
      <c r="B568" t="s">
        <v>1293</v>
      </c>
      <c r="C568" t="s">
        <v>1285</v>
      </c>
      <c r="E568">
        <v>225</v>
      </c>
      <c r="F568">
        <v>250</v>
      </c>
      <c r="G568">
        <v>5.5</v>
      </c>
      <c r="H568">
        <v>45000</v>
      </c>
      <c r="I568" t="s">
        <v>65</v>
      </c>
      <c r="J568">
        <v>5</v>
      </c>
      <c r="K568">
        <v>360</v>
      </c>
    </row>
    <row r="569" spans="1:11" hidden="1" x14ac:dyDescent="0.25">
      <c r="A569" t="s">
        <v>910</v>
      </c>
      <c r="B569" t="s">
        <v>1522</v>
      </c>
      <c r="C569" t="s">
        <v>1523</v>
      </c>
      <c r="D569">
        <v>2000</v>
      </c>
      <c r="E569">
        <v>280</v>
      </c>
      <c r="F569">
        <v>240</v>
      </c>
      <c r="G569">
        <v>6</v>
      </c>
      <c r="H569">
        <v>45000</v>
      </c>
      <c r="I569" t="s">
        <v>18</v>
      </c>
      <c r="J569">
        <v>4</v>
      </c>
      <c r="K569">
        <v>300</v>
      </c>
    </row>
    <row r="570" spans="1:11" hidden="1" x14ac:dyDescent="0.25">
      <c r="A570" t="s">
        <v>52</v>
      </c>
      <c r="B570" t="s">
        <v>615</v>
      </c>
      <c r="C570" t="s">
        <v>616</v>
      </c>
      <c r="D570">
        <v>1998</v>
      </c>
      <c r="F570">
        <v>235</v>
      </c>
      <c r="G570">
        <v>5.9</v>
      </c>
      <c r="H570">
        <v>45000</v>
      </c>
      <c r="I570" t="s">
        <v>18</v>
      </c>
      <c r="J570">
        <v>4</v>
      </c>
      <c r="K570">
        <v>275</v>
      </c>
    </row>
    <row r="571" spans="1:11" hidden="1" x14ac:dyDescent="0.25">
      <c r="A571" t="s">
        <v>24</v>
      </c>
      <c r="B571" t="s">
        <v>172</v>
      </c>
      <c r="C571" t="s">
        <v>45</v>
      </c>
      <c r="D571">
        <v>1984</v>
      </c>
      <c r="E571">
        <v>248</v>
      </c>
      <c r="F571">
        <v>240</v>
      </c>
      <c r="G571">
        <v>6.3</v>
      </c>
      <c r="H571">
        <v>45000</v>
      </c>
      <c r="I571" t="s">
        <v>18</v>
      </c>
      <c r="J571">
        <v>4</v>
      </c>
      <c r="K571">
        <v>500</v>
      </c>
    </row>
    <row r="572" spans="1:11" hidden="1" x14ac:dyDescent="0.25">
      <c r="A572" t="s">
        <v>351</v>
      </c>
      <c r="B572" t="s">
        <v>502</v>
      </c>
      <c r="C572" t="s">
        <v>437</v>
      </c>
      <c r="D572">
        <v>1984</v>
      </c>
      <c r="E572">
        <v>265</v>
      </c>
      <c r="F572">
        <v>250</v>
      </c>
      <c r="G572">
        <v>5.9</v>
      </c>
      <c r="H572">
        <v>45000</v>
      </c>
      <c r="I572" t="s">
        <v>18</v>
      </c>
      <c r="J572">
        <v>4</v>
      </c>
      <c r="K572">
        <v>380</v>
      </c>
    </row>
    <row r="573" spans="1:11" hidden="1" x14ac:dyDescent="0.25">
      <c r="A573" t="s">
        <v>43</v>
      </c>
      <c r="B573" t="s">
        <v>316</v>
      </c>
      <c r="C573" t="s">
        <v>289</v>
      </c>
      <c r="D573">
        <v>1618</v>
      </c>
      <c r="E573">
        <v>268</v>
      </c>
      <c r="F573">
        <v>230</v>
      </c>
      <c r="G573">
        <v>5.5</v>
      </c>
      <c r="H573">
        <v>45000</v>
      </c>
      <c r="I573" t="s">
        <v>18</v>
      </c>
      <c r="J573">
        <v>4</v>
      </c>
      <c r="K573">
        <v>390</v>
      </c>
    </row>
    <row r="574" spans="1:11" hidden="1" x14ac:dyDescent="0.25">
      <c r="A574" t="s">
        <v>52</v>
      </c>
      <c r="B574" t="s">
        <v>662</v>
      </c>
      <c r="C574" t="s">
        <v>663</v>
      </c>
      <c r="D574">
        <v>2393</v>
      </c>
      <c r="F574">
        <v>210</v>
      </c>
      <c r="G574">
        <v>8</v>
      </c>
      <c r="H574">
        <v>45000</v>
      </c>
      <c r="I574" t="s">
        <v>18</v>
      </c>
      <c r="J574">
        <v>2</v>
      </c>
      <c r="K574">
        <v>198</v>
      </c>
    </row>
    <row r="575" spans="1:11" hidden="1" x14ac:dyDescent="0.25">
      <c r="A575" t="s">
        <v>52</v>
      </c>
      <c r="B575" t="s">
        <v>693</v>
      </c>
      <c r="C575" t="s">
        <v>663</v>
      </c>
      <c r="D575">
        <v>2393</v>
      </c>
      <c r="F575">
        <v>210</v>
      </c>
      <c r="G575">
        <v>8</v>
      </c>
      <c r="H575">
        <v>45000</v>
      </c>
      <c r="I575" t="s">
        <v>18</v>
      </c>
      <c r="J575">
        <v>2</v>
      </c>
      <c r="K575">
        <v>198</v>
      </c>
    </row>
    <row r="576" spans="1:11" hidden="1" x14ac:dyDescent="0.25">
      <c r="A576" t="s">
        <v>351</v>
      </c>
      <c r="B576" t="s">
        <v>380</v>
      </c>
      <c r="C576" t="s">
        <v>355</v>
      </c>
      <c r="D576">
        <v>1984</v>
      </c>
      <c r="E576">
        <v>315</v>
      </c>
      <c r="F576">
        <v>250</v>
      </c>
      <c r="G576">
        <v>4.5999999999999996</v>
      </c>
      <c r="H576">
        <v>44640</v>
      </c>
      <c r="I576" t="s">
        <v>18</v>
      </c>
      <c r="J576">
        <v>5</v>
      </c>
      <c r="K576">
        <v>420</v>
      </c>
    </row>
    <row r="577" spans="1:11" hidden="1" x14ac:dyDescent="0.25">
      <c r="A577" t="s">
        <v>886</v>
      </c>
      <c r="B577" t="s">
        <v>909</v>
      </c>
      <c r="C577" t="s">
        <v>908</v>
      </c>
      <c r="E577">
        <v>240</v>
      </c>
      <c r="F577">
        <v>200</v>
      </c>
      <c r="G577">
        <v>7.5</v>
      </c>
      <c r="H577">
        <v>44500</v>
      </c>
      <c r="I577" t="s">
        <v>65</v>
      </c>
      <c r="J577">
        <v>5</v>
      </c>
      <c r="K577">
        <v>270</v>
      </c>
    </row>
    <row r="578" spans="1:11" hidden="1" x14ac:dyDescent="0.25">
      <c r="A578" t="s">
        <v>787</v>
      </c>
      <c r="B578" t="s">
        <v>922</v>
      </c>
      <c r="C578" t="s">
        <v>923</v>
      </c>
      <c r="D578">
        <v>3600</v>
      </c>
      <c r="E578">
        <v>310</v>
      </c>
      <c r="F578">
        <v>210</v>
      </c>
      <c r="G578">
        <v>6.5</v>
      </c>
      <c r="H578">
        <v>44195</v>
      </c>
      <c r="I578" t="s">
        <v>18</v>
      </c>
      <c r="J578">
        <v>5</v>
      </c>
      <c r="K578">
        <v>366</v>
      </c>
    </row>
    <row r="579" spans="1:11" hidden="1" x14ac:dyDescent="0.25">
      <c r="A579" t="s">
        <v>43</v>
      </c>
      <c r="B579" t="s">
        <v>255</v>
      </c>
      <c r="C579" t="s">
        <v>54</v>
      </c>
      <c r="D579">
        <v>2494</v>
      </c>
      <c r="E579">
        <v>245</v>
      </c>
      <c r="F579">
        <v>190</v>
      </c>
      <c r="G579">
        <v>8</v>
      </c>
      <c r="H579">
        <v>44150</v>
      </c>
      <c r="I579" t="s">
        <v>241</v>
      </c>
      <c r="J579">
        <v>7</v>
      </c>
      <c r="K579">
        <v>360</v>
      </c>
    </row>
    <row r="580" spans="1:11" hidden="1" x14ac:dyDescent="0.25">
      <c r="A580" t="s">
        <v>218</v>
      </c>
      <c r="B580" t="s">
        <v>1113</v>
      </c>
      <c r="C580" t="s">
        <v>334</v>
      </c>
      <c r="D580">
        <v>3778</v>
      </c>
      <c r="E580">
        <v>291</v>
      </c>
      <c r="F580">
        <v>240</v>
      </c>
      <c r="G580">
        <v>7</v>
      </c>
      <c r="H580">
        <v>44000</v>
      </c>
      <c r="I580" t="s">
        <v>18</v>
      </c>
      <c r="J580">
        <v>7</v>
      </c>
      <c r="K580">
        <v>355</v>
      </c>
    </row>
    <row r="581" spans="1:11" hidden="1" x14ac:dyDescent="0.25">
      <c r="A581" t="s">
        <v>52</v>
      </c>
      <c r="B581" t="s">
        <v>620</v>
      </c>
      <c r="C581" t="s">
        <v>513</v>
      </c>
      <c r="D581">
        <v>3498</v>
      </c>
      <c r="F581">
        <v>195</v>
      </c>
      <c r="G581">
        <v>7.2</v>
      </c>
      <c r="H581">
        <v>44000</v>
      </c>
      <c r="I581" t="s">
        <v>18</v>
      </c>
      <c r="J581">
        <v>7</v>
      </c>
      <c r="K581">
        <v>351</v>
      </c>
    </row>
    <row r="582" spans="1:11" hidden="1" x14ac:dyDescent="0.25">
      <c r="A582" t="s">
        <v>939</v>
      </c>
      <c r="B582" t="s">
        <v>950</v>
      </c>
      <c r="C582" t="s">
        <v>923</v>
      </c>
      <c r="D582">
        <v>3600</v>
      </c>
      <c r="E582">
        <v>308</v>
      </c>
      <c r="F582">
        <v>220</v>
      </c>
      <c r="G582">
        <v>6.6</v>
      </c>
      <c r="H582">
        <v>44000</v>
      </c>
      <c r="I582" t="s">
        <v>18</v>
      </c>
      <c r="J582">
        <v>5</v>
      </c>
      <c r="K582">
        <v>366</v>
      </c>
    </row>
    <row r="583" spans="1:11" hidden="1" x14ac:dyDescent="0.25">
      <c r="A583" t="s">
        <v>1007</v>
      </c>
      <c r="B583" t="s">
        <v>1046</v>
      </c>
      <c r="C583" t="s">
        <v>1034</v>
      </c>
      <c r="D583">
        <v>3564</v>
      </c>
      <c r="E583">
        <v>308</v>
      </c>
      <c r="F583">
        <v>180</v>
      </c>
      <c r="G583">
        <v>6.9</v>
      </c>
      <c r="H583">
        <v>44000</v>
      </c>
      <c r="I583" t="s">
        <v>18</v>
      </c>
      <c r="J583">
        <v>5</v>
      </c>
      <c r="K583">
        <v>373</v>
      </c>
    </row>
    <row r="584" spans="1:11" hidden="1" x14ac:dyDescent="0.25">
      <c r="A584" t="s">
        <v>224</v>
      </c>
      <c r="B584" t="s">
        <v>225</v>
      </c>
      <c r="C584" t="s">
        <v>45</v>
      </c>
      <c r="D584">
        <v>1996</v>
      </c>
      <c r="E584">
        <v>315</v>
      </c>
      <c r="F584">
        <v>272</v>
      </c>
      <c r="G584">
        <v>5.7</v>
      </c>
      <c r="H584">
        <v>44000</v>
      </c>
      <c r="I584" t="s">
        <v>18</v>
      </c>
      <c r="J584">
        <v>5</v>
      </c>
      <c r="K584">
        <v>400</v>
      </c>
    </row>
    <row r="585" spans="1:11" x14ac:dyDescent="0.25">
      <c r="A585" t="s">
        <v>27</v>
      </c>
      <c r="B585" t="s">
        <v>199</v>
      </c>
      <c r="C585" t="s">
        <v>45</v>
      </c>
      <c r="D585">
        <v>1995</v>
      </c>
      <c r="E585">
        <v>224</v>
      </c>
      <c r="F585">
        <v>240</v>
      </c>
      <c r="G585">
        <v>6.3</v>
      </c>
      <c r="H585">
        <v>44000</v>
      </c>
      <c r="I585" t="s">
        <v>50</v>
      </c>
      <c r="J585">
        <v>5</v>
      </c>
      <c r="K585">
        <v>400</v>
      </c>
    </row>
    <row r="586" spans="1:11" hidden="1" x14ac:dyDescent="0.25">
      <c r="A586" t="s">
        <v>1086</v>
      </c>
      <c r="B586" t="s">
        <v>1105</v>
      </c>
      <c r="C586" t="s">
        <v>1088</v>
      </c>
      <c r="E586">
        <v>225</v>
      </c>
      <c r="F586">
        <v>210</v>
      </c>
      <c r="G586">
        <v>7.5</v>
      </c>
      <c r="H586">
        <v>44000</v>
      </c>
      <c r="I586" t="s">
        <v>65</v>
      </c>
      <c r="J586">
        <v>5</v>
      </c>
      <c r="K586">
        <v>360</v>
      </c>
    </row>
    <row r="587" spans="1:11" hidden="1" x14ac:dyDescent="0.25">
      <c r="A587" t="s">
        <v>1007</v>
      </c>
      <c r="B587" t="s">
        <v>1017</v>
      </c>
      <c r="C587" t="s">
        <v>959</v>
      </c>
      <c r="D587">
        <v>6600</v>
      </c>
      <c r="E587">
        <v>401</v>
      </c>
      <c r="F587">
        <v>175</v>
      </c>
      <c r="G587">
        <v>7.5</v>
      </c>
      <c r="H587">
        <v>43900</v>
      </c>
      <c r="I587" t="s">
        <v>50</v>
      </c>
      <c r="J587">
        <v>6</v>
      </c>
      <c r="K587">
        <v>629</v>
      </c>
    </row>
    <row r="588" spans="1:11" hidden="1" x14ac:dyDescent="0.25">
      <c r="A588" t="s">
        <v>1007</v>
      </c>
      <c r="B588" t="s">
        <v>1029</v>
      </c>
      <c r="C588" t="s">
        <v>1015</v>
      </c>
      <c r="D588">
        <v>2700</v>
      </c>
      <c r="E588">
        <v>310</v>
      </c>
      <c r="F588">
        <v>190</v>
      </c>
      <c r="G588">
        <v>7.5</v>
      </c>
      <c r="H588">
        <v>43900</v>
      </c>
      <c r="I588" t="s">
        <v>18</v>
      </c>
      <c r="J588">
        <v>5</v>
      </c>
      <c r="K588">
        <v>583</v>
      </c>
    </row>
    <row r="589" spans="1:11" hidden="1" x14ac:dyDescent="0.25">
      <c r="A589" t="s">
        <v>939</v>
      </c>
      <c r="B589" t="s">
        <v>978</v>
      </c>
      <c r="C589" t="s">
        <v>923</v>
      </c>
      <c r="D589">
        <v>3600</v>
      </c>
      <c r="E589">
        <v>310</v>
      </c>
      <c r="F589">
        <v>210</v>
      </c>
      <c r="G589">
        <v>7</v>
      </c>
      <c r="H589">
        <v>43700</v>
      </c>
      <c r="I589" t="s">
        <v>18</v>
      </c>
      <c r="J589">
        <v>7</v>
      </c>
      <c r="K589">
        <v>360</v>
      </c>
    </row>
    <row r="590" spans="1:11" hidden="1" x14ac:dyDescent="0.25">
      <c r="A590" t="s">
        <v>886</v>
      </c>
      <c r="B590" t="s">
        <v>892</v>
      </c>
      <c r="C590" t="s">
        <v>888</v>
      </c>
      <c r="D590">
        <v>3600</v>
      </c>
      <c r="E590">
        <v>293</v>
      </c>
      <c r="F590">
        <v>209</v>
      </c>
      <c r="G590">
        <v>7.2</v>
      </c>
      <c r="H590">
        <v>43530</v>
      </c>
      <c r="I590" t="s">
        <v>18</v>
      </c>
      <c r="J590">
        <v>7</v>
      </c>
      <c r="K590">
        <v>352</v>
      </c>
    </row>
    <row r="591" spans="1:11" hidden="1" x14ac:dyDescent="0.25">
      <c r="A591" t="s">
        <v>218</v>
      </c>
      <c r="B591" t="s">
        <v>1140</v>
      </c>
      <c r="C591" t="s">
        <v>513</v>
      </c>
      <c r="D591">
        <v>3500</v>
      </c>
      <c r="E591">
        <v>290</v>
      </c>
      <c r="F591">
        <v>220</v>
      </c>
      <c r="G591">
        <v>8</v>
      </c>
      <c r="H591">
        <v>43500</v>
      </c>
      <c r="I591" t="s">
        <v>18</v>
      </c>
      <c r="J591">
        <v>8</v>
      </c>
      <c r="K591">
        <v>355</v>
      </c>
    </row>
    <row r="592" spans="1:11" hidden="1" x14ac:dyDescent="0.25">
      <c r="A592" t="s">
        <v>939</v>
      </c>
      <c r="B592" t="s">
        <v>976</v>
      </c>
      <c r="C592" t="s">
        <v>846</v>
      </c>
      <c r="D592">
        <v>6200</v>
      </c>
      <c r="E592">
        <v>455</v>
      </c>
      <c r="F592">
        <v>290</v>
      </c>
      <c r="G592">
        <v>4.3</v>
      </c>
      <c r="H592">
        <v>43500</v>
      </c>
      <c r="I592" t="s">
        <v>18</v>
      </c>
      <c r="J592">
        <v>4</v>
      </c>
      <c r="K592">
        <v>617</v>
      </c>
    </row>
    <row r="593" spans="1:11" hidden="1" x14ac:dyDescent="0.25">
      <c r="A593" t="s">
        <v>19</v>
      </c>
      <c r="B593" t="s">
        <v>1366</v>
      </c>
      <c r="C593" t="s">
        <v>1367</v>
      </c>
      <c r="D593">
        <v>2000</v>
      </c>
      <c r="E593">
        <v>170</v>
      </c>
      <c r="F593">
        <v>160</v>
      </c>
      <c r="G593">
        <v>12</v>
      </c>
      <c r="H593">
        <v>43455</v>
      </c>
      <c r="I593" t="s">
        <v>50</v>
      </c>
      <c r="J593">
        <v>15</v>
      </c>
      <c r="K593">
        <v>405</v>
      </c>
    </row>
    <row r="594" spans="1:11" hidden="1" x14ac:dyDescent="0.25">
      <c r="A594" t="s">
        <v>43</v>
      </c>
      <c r="B594" t="s">
        <v>259</v>
      </c>
      <c r="C594" t="s">
        <v>54</v>
      </c>
      <c r="D594">
        <v>3456</v>
      </c>
      <c r="E594">
        <v>344</v>
      </c>
      <c r="F594">
        <v>220</v>
      </c>
      <c r="G594">
        <v>6.2</v>
      </c>
      <c r="H594">
        <v>43400</v>
      </c>
      <c r="I594" t="s">
        <v>65</v>
      </c>
      <c r="J594">
        <v>5</v>
      </c>
      <c r="K594">
        <v>650</v>
      </c>
    </row>
    <row r="595" spans="1:11" hidden="1" x14ac:dyDescent="0.25">
      <c r="A595" t="s">
        <v>43</v>
      </c>
      <c r="B595" t="s">
        <v>262</v>
      </c>
      <c r="C595" t="s">
        <v>178</v>
      </c>
      <c r="E595">
        <v>218</v>
      </c>
      <c r="F595">
        <v>200</v>
      </c>
      <c r="G595">
        <v>7.5</v>
      </c>
      <c r="H595">
        <v>43400</v>
      </c>
      <c r="I595" t="s">
        <v>132</v>
      </c>
      <c r="J595">
        <v>5</v>
      </c>
      <c r="K595">
        <v>330</v>
      </c>
    </row>
    <row r="596" spans="1:11" hidden="1" x14ac:dyDescent="0.25">
      <c r="A596" t="s">
        <v>24</v>
      </c>
      <c r="B596" t="s">
        <v>169</v>
      </c>
      <c r="C596" t="s">
        <v>45</v>
      </c>
      <c r="D596">
        <v>1984</v>
      </c>
      <c r="E596">
        <v>248</v>
      </c>
      <c r="F596">
        <v>240</v>
      </c>
      <c r="G596">
        <v>6.3</v>
      </c>
      <c r="H596">
        <v>43000</v>
      </c>
      <c r="I596" t="s">
        <v>18</v>
      </c>
      <c r="J596">
        <v>5</v>
      </c>
      <c r="K596">
        <v>500</v>
      </c>
    </row>
    <row r="597" spans="1:11" hidden="1" x14ac:dyDescent="0.25">
      <c r="A597" t="s">
        <v>52</v>
      </c>
      <c r="B597" t="s">
        <v>624</v>
      </c>
      <c r="C597" t="s">
        <v>625</v>
      </c>
      <c r="D597">
        <v>1497</v>
      </c>
      <c r="F597">
        <v>190</v>
      </c>
      <c r="G597">
        <v>8</v>
      </c>
      <c r="H597">
        <v>43000</v>
      </c>
      <c r="I597" t="s">
        <v>65</v>
      </c>
      <c r="J597">
        <v>5</v>
      </c>
      <c r="K597">
        <v>305</v>
      </c>
    </row>
    <row r="598" spans="1:11" hidden="1" x14ac:dyDescent="0.25">
      <c r="A598" t="s">
        <v>52</v>
      </c>
      <c r="B598" t="s">
        <v>553</v>
      </c>
      <c r="C598" t="s">
        <v>513</v>
      </c>
      <c r="D598">
        <v>3498</v>
      </c>
      <c r="F598">
        <v>190</v>
      </c>
      <c r="G598">
        <v>7.4</v>
      </c>
      <c r="H598">
        <v>42820</v>
      </c>
      <c r="I598" t="s">
        <v>18</v>
      </c>
      <c r="J598">
        <v>7</v>
      </c>
      <c r="K598">
        <v>351</v>
      </c>
    </row>
    <row r="599" spans="1:11" hidden="1" x14ac:dyDescent="0.25">
      <c r="A599" t="s">
        <v>939</v>
      </c>
      <c r="B599" t="s">
        <v>955</v>
      </c>
      <c r="C599" t="s">
        <v>952</v>
      </c>
      <c r="D599">
        <v>5300</v>
      </c>
      <c r="E599">
        <v>355</v>
      </c>
      <c r="F599">
        <v>180</v>
      </c>
      <c r="G599">
        <v>7</v>
      </c>
      <c r="H599">
        <v>42795</v>
      </c>
      <c r="I599" t="s">
        <v>18</v>
      </c>
      <c r="J599">
        <v>6</v>
      </c>
      <c r="K599">
        <v>519</v>
      </c>
    </row>
    <row r="600" spans="1:11" hidden="1" x14ac:dyDescent="0.25">
      <c r="A600" t="s">
        <v>218</v>
      </c>
      <c r="B600" t="s">
        <v>1103</v>
      </c>
      <c r="C600" t="s">
        <v>513</v>
      </c>
      <c r="D600">
        <v>3500</v>
      </c>
      <c r="E600">
        <v>290</v>
      </c>
      <c r="F600">
        <v>220</v>
      </c>
      <c r="G600">
        <v>8</v>
      </c>
      <c r="H600">
        <v>42500</v>
      </c>
      <c r="I600" t="s">
        <v>18</v>
      </c>
      <c r="J600">
        <v>8</v>
      </c>
      <c r="K600">
        <v>355</v>
      </c>
    </row>
    <row r="601" spans="1:11" hidden="1" x14ac:dyDescent="0.25">
      <c r="A601" t="s">
        <v>1398</v>
      </c>
      <c r="B601" t="s">
        <v>1409</v>
      </c>
      <c r="C601" t="s">
        <v>1410</v>
      </c>
      <c r="D601">
        <v>3200</v>
      </c>
      <c r="E601">
        <v>189</v>
      </c>
      <c r="F601">
        <v>180</v>
      </c>
      <c r="G601">
        <v>10.5</v>
      </c>
      <c r="H601">
        <v>42500</v>
      </c>
      <c r="I601" t="s">
        <v>50</v>
      </c>
      <c r="J601">
        <v>7</v>
      </c>
      <c r="K601">
        <v>441</v>
      </c>
    </row>
    <row r="602" spans="1:11" hidden="1" x14ac:dyDescent="0.25">
      <c r="A602" t="s">
        <v>52</v>
      </c>
      <c r="B602" t="s">
        <v>571</v>
      </c>
      <c r="C602" t="s">
        <v>572</v>
      </c>
      <c r="D602">
        <v>2488</v>
      </c>
      <c r="F602">
        <v>190</v>
      </c>
      <c r="G602">
        <v>7.7</v>
      </c>
      <c r="H602">
        <v>42500</v>
      </c>
      <c r="I602" t="s">
        <v>65</v>
      </c>
      <c r="J602">
        <v>7</v>
      </c>
      <c r="K602">
        <v>329</v>
      </c>
    </row>
    <row r="603" spans="1:11" hidden="1" x14ac:dyDescent="0.25">
      <c r="A603" t="s">
        <v>910</v>
      </c>
      <c r="B603" t="s">
        <v>1547</v>
      </c>
      <c r="C603" t="s">
        <v>332</v>
      </c>
      <c r="D603">
        <v>2500</v>
      </c>
      <c r="E603">
        <v>187</v>
      </c>
      <c r="F603">
        <v>200</v>
      </c>
      <c r="G603">
        <v>8.5</v>
      </c>
      <c r="H603">
        <v>42500</v>
      </c>
      <c r="I603" t="s">
        <v>215</v>
      </c>
      <c r="J603">
        <v>5</v>
      </c>
      <c r="K603">
        <v>250</v>
      </c>
    </row>
    <row r="604" spans="1:11" hidden="1" x14ac:dyDescent="0.25">
      <c r="A604" t="s">
        <v>910</v>
      </c>
      <c r="B604" t="s">
        <v>1577</v>
      </c>
      <c r="C604" t="s">
        <v>1578</v>
      </c>
      <c r="D604">
        <v>1308</v>
      </c>
      <c r="E604">
        <v>200</v>
      </c>
      <c r="F604">
        <v>180</v>
      </c>
      <c r="G604">
        <v>9.5</v>
      </c>
      <c r="H604">
        <v>42500</v>
      </c>
      <c r="I604" t="s">
        <v>65</v>
      </c>
      <c r="J604">
        <v>5</v>
      </c>
      <c r="K604">
        <v>260</v>
      </c>
    </row>
    <row r="605" spans="1:11" hidden="1" x14ac:dyDescent="0.25">
      <c r="A605" t="s">
        <v>910</v>
      </c>
      <c r="B605" t="s">
        <v>1591</v>
      </c>
      <c r="C605" t="s">
        <v>1578</v>
      </c>
      <c r="D605">
        <v>1308</v>
      </c>
      <c r="E605">
        <v>200</v>
      </c>
      <c r="F605">
        <v>180</v>
      </c>
      <c r="G605">
        <v>9.5</v>
      </c>
      <c r="H605">
        <v>42500</v>
      </c>
      <c r="I605" t="s">
        <v>65</v>
      </c>
      <c r="J605">
        <v>5</v>
      </c>
      <c r="K605">
        <v>260</v>
      </c>
    </row>
    <row r="606" spans="1:11" hidden="1" x14ac:dyDescent="0.25">
      <c r="A606" t="s">
        <v>19</v>
      </c>
      <c r="B606" t="s">
        <v>1329</v>
      </c>
      <c r="C606" t="s">
        <v>1330</v>
      </c>
      <c r="E606">
        <v>292</v>
      </c>
      <c r="F606">
        <v>200</v>
      </c>
      <c r="G606">
        <v>7.5</v>
      </c>
      <c r="H606">
        <v>42500</v>
      </c>
      <c r="I606" t="s">
        <v>18</v>
      </c>
      <c r="J606">
        <v>4</v>
      </c>
      <c r="K606">
        <v>500</v>
      </c>
    </row>
    <row r="607" spans="1:11" hidden="1" x14ac:dyDescent="0.25">
      <c r="A607" t="s">
        <v>886</v>
      </c>
      <c r="B607" t="s">
        <v>889</v>
      </c>
      <c r="C607" t="s">
        <v>890</v>
      </c>
      <c r="D607">
        <v>2000</v>
      </c>
      <c r="E607">
        <v>270</v>
      </c>
      <c r="F607">
        <v>180</v>
      </c>
      <c r="G607">
        <v>7.1</v>
      </c>
      <c r="H607">
        <v>42100</v>
      </c>
      <c r="I607" t="s">
        <v>18</v>
      </c>
      <c r="J607">
        <v>4</v>
      </c>
      <c r="K607">
        <v>400</v>
      </c>
    </row>
    <row r="608" spans="1:11" hidden="1" x14ac:dyDescent="0.25">
      <c r="A608" t="s">
        <v>218</v>
      </c>
      <c r="B608" t="s">
        <v>1089</v>
      </c>
      <c r="C608" t="s">
        <v>1090</v>
      </c>
      <c r="D608">
        <v>2500</v>
      </c>
      <c r="E608">
        <v>277</v>
      </c>
      <c r="F608">
        <v>220</v>
      </c>
      <c r="G608">
        <v>7</v>
      </c>
      <c r="H608">
        <v>42000</v>
      </c>
      <c r="I608" t="s">
        <v>18</v>
      </c>
      <c r="J608">
        <v>7</v>
      </c>
      <c r="K608">
        <v>421</v>
      </c>
    </row>
    <row r="609" spans="1:11" hidden="1" x14ac:dyDescent="0.25">
      <c r="A609" t="s">
        <v>52</v>
      </c>
      <c r="B609" t="s">
        <v>629</v>
      </c>
      <c r="C609" t="s">
        <v>537</v>
      </c>
      <c r="D609">
        <v>3696</v>
      </c>
      <c r="F609">
        <v>250</v>
      </c>
      <c r="G609">
        <v>5.5</v>
      </c>
      <c r="H609">
        <v>42000</v>
      </c>
      <c r="I609" t="s">
        <v>18</v>
      </c>
      <c r="J609">
        <v>5</v>
      </c>
      <c r="K609">
        <v>365</v>
      </c>
    </row>
    <row r="610" spans="1:11" x14ac:dyDescent="0.25">
      <c r="A610" t="s">
        <v>27</v>
      </c>
      <c r="B610" t="s">
        <v>189</v>
      </c>
      <c r="C610" t="s">
        <v>45</v>
      </c>
      <c r="D610">
        <v>1998</v>
      </c>
      <c r="E610">
        <v>261</v>
      </c>
      <c r="F610">
        <v>250</v>
      </c>
      <c r="G610">
        <v>6.1</v>
      </c>
      <c r="H610">
        <v>42000</v>
      </c>
      <c r="I610" t="s">
        <v>18</v>
      </c>
      <c r="J610">
        <v>5</v>
      </c>
      <c r="K610">
        <v>400</v>
      </c>
    </row>
    <row r="611" spans="1:11" x14ac:dyDescent="0.25">
      <c r="A611" t="s">
        <v>27</v>
      </c>
      <c r="B611" t="s">
        <v>196</v>
      </c>
      <c r="C611" t="s">
        <v>45</v>
      </c>
      <c r="D611">
        <v>1998</v>
      </c>
      <c r="E611">
        <v>224</v>
      </c>
      <c r="F611">
        <v>240</v>
      </c>
      <c r="G611">
        <v>6.1</v>
      </c>
      <c r="H611">
        <v>42000</v>
      </c>
      <c r="I611" t="s">
        <v>18</v>
      </c>
      <c r="J611">
        <v>5</v>
      </c>
      <c r="K611">
        <v>400</v>
      </c>
    </row>
    <row r="612" spans="1:11" hidden="1" x14ac:dyDescent="0.25">
      <c r="A612" t="s">
        <v>1226</v>
      </c>
      <c r="B612" t="s">
        <v>1256</v>
      </c>
      <c r="C612" t="s">
        <v>1257</v>
      </c>
      <c r="D612">
        <v>1500</v>
      </c>
      <c r="E612">
        <v>272</v>
      </c>
      <c r="F612">
        <v>210</v>
      </c>
      <c r="G612">
        <v>6.6</v>
      </c>
      <c r="H612">
        <v>42000</v>
      </c>
      <c r="I612" t="s">
        <v>18</v>
      </c>
      <c r="J612">
        <v>5</v>
      </c>
      <c r="K612">
        <v>400</v>
      </c>
    </row>
    <row r="613" spans="1:11" hidden="1" x14ac:dyDescent="0.25">
      <c r="A613" t="s">
        <v>218</v>
      </c>
      <c r="B613" t="s">
        <v>235</v>
      </c>
      <c r="C613" t="s">
        <v>227</v>
      </c>
      <c r="E613">
        <v>261</v>
      </c>
      <c r="F613">
        <v>180</v>
      </c>
      <c r="G613">
        <v>7.9</v>
      </c>
      <c r="H613">
        <v>42000</v>
      </c>
      <c r="I613" t="s">
        <v>14</v>
      </c>
      <c r="J613">
        <v>5</v>
      </c>
      <c r="K613">
        <v>350</v>
      </c>
    </row>
    <row r="614" spans="1:11" hidden="1" x14ac:dyDescent="0.25">
      <c r="A614" t="s">
        <v>351</v>
      </c>
      <c r="B614" t="s">
        <v>499</v>
      </c>
      <c r="C614" t="s">
        <v>469</v>
      </c>
      <c r="E614">
        <v>245</v>
      </c>
      <c r="F614">
        <v>200</v>
      </c>
      <c r="G614">
        <v>7.5</v>
      </c>
      <c r="H614">
        <v>42000</v>
      </c>
      <c r="I614" t="s">
        <v>65</v>
      </c>
      <c r="J614">
        <v>5</v>
      </c>
      <c r="K614">
        <v>400</v>
      </c>
    </row>
    <row r="615" spans="1:11" hidden="1" x14ac:dyDescent="0.25">
      <c r="A615" t="s">
        <v>1086</v>
      </c>
      <c r="B615" t="s">
        <v>1110</v>
      </c>
      <c r="C615" t="s">
        <v>1088</v>
      </c>
      <c r="E615">
        <v>225</v>
      </c>
      <c r="F615">
        <v>210</v>
      </c>
      <c r="G615">
        <v>7</v>
      </c>
      <c r="H615">
        <v>42000</v>
      </c>
      <c r="I615" t="s">
        <v>65</v>
      </c>
      <c r="J615">
        <v>5</v>
      </c>
      <c r="K615">
        <v>360</v>
      </c>
    </row>
    <row r="616" spans="1:11" hidden="1" x14ac:dyDescent="0.25">
      <c r="A616" t="s">
        <v>52</v>
      </c>
      <c r="B616" t="s">
        <v>699</v>
      </c>
      <c r="C616" t="s">
        <v>509</v>
      </c>
      <c r="D616">
        <v>5552</v>
      </c>
      <c r="F616">
        <v>170</v>
      </c>
      <c r="G616">
        <v>9</v>
      </c>
      <c r="H616">
        <v>42000</v>
      </c>
      <c r="I616" t="s">
        <v>18</v>
      </c>
      <c r="J616">
        <v>2</v>
      </c>
      <c r="K616">
        <v>525</v>
      </c>
    </row>
    <row r="617" spans="1:11" hidden="1" x14ac:dyDescent="0.25">
      <c r="A617" t="s">
        <v>52</v>
      </c>
      <c r="B617" t="s">
        <v>536</v>
      </c>
      <c r="C617" t="s">
        <v>537</v>
      </c>
      <c r="D617">
        <v>3696</v>
      </c>
      <c r="F617">
        <v>250</v>
      </c>
      <c r="G617">
        <v>5.5</v>
      </c>
      <c r="H617">
        <v>41820</v>
      </c>
      <c r="I617" t="s">
        <v>18</v>
      </c>
      <c r="J617">
        <v>2</v>
      </c>
      <c r="K617">
        <v>366</v>
      </c>
    </row>
    <row r="618" spans="1:11" hidden="1" x14ac:dyDescent="0.25">
      <c r="A618" t="s">
        <v>52</v>
      </c>
      <c r="B618" t="s">
        <v>560</v>
      </c>
      <c r="C618" t="s">
        <v>561</v>
      </c>
      <c r="D618">
        <v>2997</v>
      </c>
      <c r="F618">
        <v>250</v>
      </c>
      <c r="G618">
        <v>5</v>
      </c>
      <c r="H618">
        <v>41750</v>
      </c>
      <c r="I618" t="s">
        <v>18</v>
      </c>
      <c r="J618">
        <v>4</v>
      </c>
      <c r="K618">
        <v>400</v>
      </c>
    </row>
    <row r="619" spans="1:11" hidden="1" x14ac:dyDescent="0.25">
      <c r="A619" t="s">
        <v>886</v>
      </c>
      <c r="B619" t="s">
        <v>891</v>
      </c>
      <c r="C619" t="s">
        <v>888</v>
      </c>
      <c r="D619">
        <v>3600</v>
      </c>
      <c r="E619">
        <v>293</v>
      </c>
      <c r="F619">
        <v>209</v>
      </c>
      <c r="G619">
        <v>7</v>
      </c>
      <c r="H619">
        <v>41530</v>
      </c>
      <c r="I619" t="s">
        <v>18</v>
      </c>
      <c r="J619">
        <v>5</v>
      </c>
      <c r="K619">
        <v>352</v>
      </c>
    </row>
    <row r="620" spans="1:11" hidden="1" x14ac:dyDescent="0.25">
      <c r="A620" t="s">
        <v>218</v>
      </c>
      <c r="B620" t="s">
        <v>1139</v>
      </c>
      <c r="C620" t="s">
        <v>334</v>
      </c>
      <c r="D620">
        <v>3778</v>
      </c>
      <c r="E620">
        <v>291</v>
      </c>
      <c r="F620">
        <v>240</v>
      </c>
      <c r="G620">
        <v>7</v>
      </c>
      <c r="H620">
        <v>41500</v>
      </c>
      <c r="I620" t="s">
        <v>18</v>
      </c>
      <c r="J620">
        <v>7</v>
      </c>
      <c r="K620">
        <v>355</v>
      </c>
    </row>
    <row r="621" spans="1:11" hidden="1" x14ac:dyDescent="0.25">
      <c r="A621" t="s">
        <v>910</v>
      </c>
      <c r="B621" t="s">
        <v>1495</v>
      </c>
      <c r="C621" t="s">
        <v>1488</v>
      </c>
      <c r="D621">
        <v>2500</v>
      </c>
      <c r="E621">
        <v>250</v>
      </c>
      <c r="F621">
        <v>210</v>
      </c>
      <c r="G621">
        <v>7.2</v>
      </c>
      <c r="H621">
        <v>41500</v>
      </c>
      <c r="I621" t="s">
        <v>18</v>
      </c>
      <c r="J621">
        <v>7</v>
      </c>
      <c r="K621">
        <v>420</v>
      </c>
    </row>
    <row r="622" spans="1:11" hidden="1" x14ac:dyDescent="0.25">
      <c r="A622" t="s">
        <v>939</v>
      </c>
      <c r="B622" t="s">
        <v>956</v>
      </c>
      <c r="C622" t="s">
        <v>957</v>
      </c>
      <c r="D622">
        <v>6600</v>
      </c>
      <c r="E622">
        <v>401</v>
      </c>
      <c r="F622">
        <v>170</v>
      </c>
      <c r="G622">
        <v>8</v>
      </c>
      <c r="H622">
        <v>41500</v>
      </c>
      <c r="I622" t="s">
        <v>18</v>
      </c>
      <c r="J622">
        <v>6</v>
      </c>
      <c r="K622">
        <v>629</v>
      </c>
    </row>
    <row r="623" spans="1:11" hidden="1" x14ac:dyDescent="0.25">
      <c r="A623" t="s">
        <v>269</v>
      </c>
      <c r="B623" t="s">
        <v>329</v>
      </c>
      <c r="C623" t="s">
        <v>330</v>
      </c>
      <c r="E623">
        <v>320</v>
      </c>
      <c r="F623">
        <v>185</v>
      </c>
      <c r="G623">
        <v>5.2</v>
      </c>
      <c r="H623">
        <v>41450</v>
      </c>
      <c r="I623" t="s">
        <v>132</v>
      </c>
      <c r="J623">
        <v>5</v>
      </c>
      <c r="K623">
        <v>350</v>
      </c>
    </row>
    <row r="624" spans="1:11" hidden="1" x14ac:dyDescent="0.25">
      <c r="A624" t="s">
        <v>1007</v>
      </c>
      <c r="B624" t="s">
        <v>1025</v>
      </c>
      <c r="C624" t="s">
        <v>923</v>
      </c>
      <c r="D624">
        <v>3600</v>
      </c>
      <c r="E624">
        <v>310</v>
      </c>
      <c r="F624">
        <v>210</v>
      </c>
      <c r="G624">
        <v>7.6</v>
      </c>
      <c r="H624">
        <v>41400</v>
      </c>
      <c r="I624" t="s">
        <v>18</v>
      </c>
      <c r="J624">
        <v>6</v>
      </c>
      <c r="K624">
        <v>366</v>
      </c>
    </row>
    <row r="625" spans="1:11" hidden="1" x14ac:dyDescent="0.25">
      <c r="A625" t="s">
        <v>43</v>
      </c>
      <c r="B625" t="s">
        <v>252</v>
      </c>
      <c r="C625" t="s">
        <v>54</v>
      </c>
      <c r="D625">
        <v>3456</v>
      </c>
      <c r="E625">
        <v>301</v>
      </c>
      <c r="F625">
        <v>220</v>
      </c>
      <c r="G625">
        <v>6.9</v>
      </c>
      <c r="H625">
        <v>41400</v>
      </c>
      <c r="I625" t="s">
        <v>18</v>
      </c>
      <c r="J625">
        <v>5</v>
      </c>
      <c r="K625">
        <v>400</v>
      </c>
    </row>
    <row r="626" spans="1:11" hidden="1" x14ac:dyDescent="0.25">
      <c r="A626" t="s">
        <v>787</v>
      </c>
      <c r="B626" t="s">
        <v>933</v>
      </c>
      <c r="C626" t="s">
        <v>789</v>
      </c>
      <c r="D626">
        <v>2000</v>
      </c>
      <c r="E626">
        <v>235</v>
      </c>
      <c r="F626">
        <v>220</v>
      </c>
      <c r="G626">
        <v>7.4</v>
      </c>
      <c r="H626">
        <v>41390</v>
      </c>
      <c r="I626" t="s">
        <v>18</v>
      </c>
      <c r="J626">
        <v>5</v>
      </c>
      <c r="K626">
        <v>350</v>
      </c>
    </row>
    <row r="627" spans="1:11" hidden="1" x14ac:dyDescent="0.25">
      <c r="A627" t="s">
        <v>886</v>
      </c>
      <c r="B627" t="s">
        <v>917</v>
      </c>
      <c r="C627" t="s">
        <v>918</v>
      </c>
      <c r="D627">
        <v>3200</v>
      </c>
      <c r="E627">
        <v>271</v>
      </c>
      <c r="F627">
        <v>195</v>
      </c>
      <c r="G627">
        <v>7.6</v>
      </c>
      <c r="H627">
        <v>41295</v>
      </c>
      <c r="I627" t="s">
        <v>18</v>
      </c>
      <c r="J627">
        <v>5</v>
      </c>
      <c r="K627">
        <v>324</v>
      </c>
    </row>
    <row r="628" spans="1:11" hidden="1" x14ac:dyDescent="0.25">
      <c r="A628" t="s">
        <v>787</v>
      </c>
      <c r="B628" t="s">
        <v>938</v>
      </c>
      <c r="C628" t="s">
        <v>789</v>
      </c>
      <c r="D628">
        <v>2000</v>
      </c>
      <c r="E628">
        <v>237</v>
      </c>
      <c r="F628">
        <v>240</v>
      </c>
      <c r="G628">
        <v>6.8</v>
      </c>
      <c r="H628">
        <v>41290</v>
      </c>
      <c r="I628" t="s">
        <v>18</v>
      </c>
      <c r="J628">
        <v>5</v>
      </c>
      <c r="K628">
        <v>350</v>
      </c>
    </row>
    <row r="629" spans="1:11" hidden="1" x14ac:dyDescent="0.25">
      <c r="A629" t="s">
        <v>218</v>
      </c>
      <c r="B629" t="s">
        <v>226</v>
      </c>
      <c r="C629" t="s">
        <v>227</v>
      </c>
      <c r="E629">
        <v>261</v>
      </c>
      <c r="F629">
        <v>180</v>
      </c>
      <c r="G629">
        <v>8</v>
      </c>
      <c r="H629">
        <v>41000</v>
      </c>
      <c r="I629" t="s">
        <v>14</v>
      </c>
      <c r="J629">
        <v>5</v>
      </c>
      <c r="K629">
        <v>350</v>
      </c>
    </row>
    <row r="630" spans="1:11" hidden="1" x14ac:dyDescent="0.25">
      <c r="A630" t="s">
        <v>269</v>
      </c>
      <c r="B630" t="s">
        <v>319</v>
      </c>
      <c r="C630" t="s">
        <v>131</v>
      </c>
      <c r="E630">
        <v>225</v>
      </c>
      <c r="F630">
        <v>185</v>
      </c>
      <c r="G630">
        <v>7.4</v>
      </c>
      <c r="H630">
        <v>41000</v>
      </c>
      <c r="I630" t="s">
        <v>132</v>
      </c>
      <c r="J630">
        <v>5</v>
      </c>
      <c r="K630">
        <v>350</v>
      </c>
    </row>
    <row r="631" spans="1:11" hidden="1" x14ac:dyDescent="0.25">
      <c r="A631" t="s">
        <v>1398</v>
      </c>
      <c r="B631" t="s">
        <v>1403</v>
      </c>
      <c r="C631" t="s">
        <v>1404</v>
      </c>
      <c r="E631">
        <v>248</v>
      </c>
      <c r="F631">
        <v>170</v>
      </c>
      <c r="G631">
        <v>10.5</v>
      </c>
      <c r="H631">
        <v>41000</v>
      </c>
      <c r="I631" t="s">
        <v>65</v>
      </c>
      <c r="J631">
        <v>5</v>
      </c>
      <c r="K631">
        <v>300</v>
      </c>
    </row>
    <row r="632" spans="1:11" hidden="1" x14ac:dyDescent="0.25">
      <c r="A632" t="s">
        <v>269</v>
      </c>
      <c r="B632" t="s">
        <v>320</v>
      </c>
      <c r="C632" t="s">
        <v>321</v>
      </c>
      <c r="D632">
        <v>2500</v>
      </c>
      <c r="E632">
        <v>281</v>
      </c>
      <c r="F632">
        <v>215</v>
      </c>
      <c r="G632">
        <v>6.5</v>
      </c>
      <c r="H632">
        <v>40799</v>
      </c>
      <c r="I632" t="s">
        <v>18</v>
      </c>
      <c r="J632">
        <v>5</v>
      </c>
      <c r="K632">
        <v>400</v>
      </c>
    </row>
    <row r="633" spans="1:11" hidden="1" x14ac:dyDescent="0.25">
      <c r="A633" t="s">
        <v>43</v>
      </c>
      <c r="B633" t="s">
        <v>257</v>
      </c>
      <c r="C633" t="s">
        <v>54</v>
      </c>
      <c r="D633">
        <v>3456</v>
      </c>
      <c r="E633">
        <v>240</v>
      </c>
      <c r="F633">
        <v>220</v>
      </c>
      <c r="G633">
        <v>8.1999999999999993</v>
      </c>
      <c r="H633">
        <v>40400</v>
      </c>
      <c r="I633" t="s">
        <v>65</v>
      </c>
      <c r="J633">
        <v>7</v>
      </c>
      <c r="K633">
        <v>350</v>
      </c>
    </row>
    <row r="634" spans="1:11" hidden="1" x14ac:dyDescent="0.25">
      <c r="A634" t="s">
        <v>871</v>
      </c>
      <c r="B634" t="s">
        <v>875</v>
      </c>
      <c r="C634" t="s">
        <v>876</v>
      </c>
      <c r="E634">
        <v>283</v>
      </c>
      <c r="F634">
        <v>225</v>
      </c>
      <c r="G634">
        <v>5.8</v>
      </c>
      <c r="H634">
        <v>40240</v>
      </c>
      <c r="I634" t="s">
        <v>132</v>
      </c>
      <c r="J634">
        <v>5</v>
      </c>
      <c r="K634">
        <v>420</v>
      </c>
    </row>
    <row r="635" spans="1:11" hidden="1" x14ac:dyDescent="0.25">
      <c r="A635" t="s">
        <v>224</v>
      </c>
      <c r="B635" t="s">
        <v>242</v>
      </c>
      <c r="C635" t="s">
        <v>54</v>
      </c>
      <c r="D635">
        <v>3471</v>
      </c>
      <c r="E635">
        <v>285</v>
      </c>
      <c r="F635">
        <v>209</v>
      </c>
      <c r="G635">
        <v>6.3</v>
      </c>
      <c r="H635">
        <v>40000</v>
      </c>
      <c r="I635" t="s">
        <v>18</v>
      </c>
      <c r="J635">
        <v>8</v>
      </c>
      <c r="K635">
        <v>360</v>
      </c>
    </row>
    <row r="636" spans="1:11" hidden="1" x14ac:dyDescent="0.25">
      <c r="A636" t="s">
        <v>1007</v>
      </c>
      <c r="B636" t="s">
        <v>1066</v>
      </c>
      <c r="C636" t="s">
        <v>1034</v>
      </c>
      <c r="D636">
        <v>3564</v>
      </c>
      <c r="E636">
        <v>310</v>
      </c>
      <c r="F636">
        <v>210</v>
      </c>
      <c r="G636">
        <v>6.6</v>
      </c>
      <c r="H636">
        <v>40000</v>
      </c>
      <c r="I636" t="s">
        <v>18</v>
      </c>
      <c r="J636">
        <v>7</v>
      </c>
      <c r="K636">
        <v>366</v>
      </c>
    </row>
    <row r="637" spans="1:11" hidden="1" x14ac:dyDescent="0.25">
      <c r="A637" t="s">
        <v>52</v>
      </c>
      <c r="B637" t="s">
        <v>573</v>
      </c>
      <c r="C637" t="s">
        <v>332</v>
      </c>
      <c r="D637">
        <v>2498</v>
      </c>
      <c r="F637">
        <v>175</v>
      </c>
      <c r="G637">
        <v>10.8</v>
      </c>
      <c r="H637">
        <v>40000</v>
      </c>
      <c r="I637" t="s">
        <v>18</v>
      </c>
      <c r="J637">
        <v>7</v>
      </c>
      <c r="K637">
        <v>240</v>
      </c>
    </row>
    <row r="638" spans="1:11" hidden="1" x14ac:dyDescent="0.25">
      <c r="A638" t="s">
        <v>43</v>
      </c>
      <c r="B638" t="s">
        <v>301</v>
      </c>
      <c r="C638" t="s">
        <v>302</v>
      </c>
      <c r="D638">
        <v>1987</v>
      </c>
      <c r="E638">
        <v>184</v>
      </c>
      <c r="F638">
        <v>165</v>
      </c>
      <c r="G638">
        <v>9.5</v>
      </c>
      <c r="H638">
        <v>40000</v>
      </c>
      <c r="I638" t="s">
        <v>65</v>
      </c>
      <c r="J638">
        <v>7</v>
      </c>
      <c r="K638">
        <v>250</v>
      </c>
    </row>
    <row r="639" spans="1:11" hidden="1" x14ac:dyDescent="0.25">
      <c r="A639" t="s">
        <v>1086</v>
      </c>
      <c r="B639" t="s">
        <v>1305</v>
      </c>
      <c r="C639" t="s">
        <v>1240</v>
      </c>
      <c r="D639">
        <v>1598</v>
      </c>
      <c r="E639">
        <v>180</v>
      </c>
      <c r="F639">
        <v>210</v>
      </c>
      <c r="G639">
        <v>8.1999999999999993</v>
      </c>
      <c r="H639">
        <v>40000</v>
      </c>
      <c r="I639" t="s">
        <v>18</v>
      </c>
      <c r="J639">
        <v>7</v>
      </c>
      <c r="K639">
        <v>250</v>
      </c>
    </row>
    <row r="640" spans="1:11" hidden="1" x14ac:dyDescent="0.25">
      <c r="A640" t="s">
        <v>52</v>
      </c>
      <c r="B640" t="s">
        <v>63</v>
      </c>
      <c r="C640" t="s">
        <v>13</v>
      </c>
      <c r="D640">
        <v>5598</v>
      </c>
      <c r="E640">
        <v>400</v>
      </c>
      <c r="F640">
        <v>200</v>
      </c>
      <c r="G640">
        <v>5.9</v>
      </c>
      <c r="H640">
        <v>40000</v>
      </c>
      <c r="I640" t="s">
        <v>18</v>
      </c>
      <c r="J640">
        <v>5</v>
      </c>
      <c r="K640">
        <v>560</v>
      </c>
    </row>
    <row r="641" spans="1:11" hidden="1" x14ac:dyDescent="0.25">
      <c r="A641" t="s">
        <v>351</v>
      </c>
      <c r="B641" t="s">
        <v>458</v>
      </c>
      <c r="C641" t="s">
        <v>459</v>
      </c>
      <c r="D641">
        <v>3189</v>
      </c>
      <c r="E641">
        <v>240</v>
      </c>
      <c r="F641">
        <v>250</v>
      </c>
      <c r="G641">
        <v>6.2</v>
      </c>
      <c r="H641">
        <v>40000</v>
      </c>
      <c r="I641" t="s">
        <v>18</v>
      </c>
      <c r="J641">
        <v>5</v>
      </c>
      <c r="K641">
        <v>320</v>
      </c>
    </row>
    <row r="642" spans="1:11" hidden="1" x14ac:dyDescent="0.25">
      <c r="A642" t="s">
        <v>351</v>
      </c>
      <c r="B642" t="s">
        <v>368</v>
      </c>
      <c r="C642" t="s">
        <v>369</v>
      </c>
      <c r="D642">
        <v>2967</v>
      </c>
      <c r="E642">
        <v>210</v>
      </c>
      <c r="F642">
        <v>180</v>
      </c>
      <c r="G642">
        <v>7.9</v>
      </c>
      <c r="H642">
        <v>40000</v>
      </c>
      <c r="I642" t="s">
        <v>50</v>
      </c>
      <c r="J642">
        <v>5</v>
      </c>
      <c r="K642">
        <v>550</v>
      </c>
    </row>
    <row r="643" spans="1:11" hidden="1" x14ac:dyDescent="0.25">
      <c r="A643" t="s">
        <v>19</v>
      </c>
      <c r="B643" t="s">
        <v>1391</v>
      </c>
      <c r="C643" t="s">
        <v>1392</v>
      </c>
      <c r="D643">
        <v>2000</v>
      </c>
      <c r="E643">
        <v>210</v>
      </c>
      <c r="F643">
        <v>180</v>
      </c>
      <c r="G643">
        <v>8</v>
      </c>
      <c r="H643">
        <v>40000</v>
      </c>
      <c r="I643" t="s">
        <v>50</v>
      </c>
      <c r="J643">
        <v>5</v>
      </c>
      <c r="K643">
        <v>500</v>
      </c>
    </row>
    <row r="644" spans="1:11" x14ac:dyDescent="0.25">
      <c r="A644" t="s">
        <v>27</v>
      </c>
      <c r="B644" t="s">
        <v>210</v>
      </c>
      <c r="C644" t="s">
        <v>45</v>
      </c>
      <c r="D644">
        <v>1998</v>
      </c>
      <c r="E644">
        <v>178</v>
      </c>
      <c r="F644">
        <v>230</v>
      </c>
      <c r="G644">
        <v>7.2</v>
      </c>
      <c r="H644">
        <v>40000</v>
      </c>
      <c r="I644" t="s">
        <v>18</v>
      </c>
      <c r="J644">
        <v>5</v>
      </c>
      <c r="K644">
        <v>300</v>
      </c>
    </row>
    <row r="645" spans="1:11" hidden="1" x14ac:dyDescent="0.25">
      <c r="A645" t="s">
        <v>218</v>
      </c>
      <c r="B645" t="s">
        <v>238</v>
      </c>
      <c r="C645" t="s">
        <v>45</v>
      </c>
      <c r="D645">
        <v>1998</v>
      </c>
      <c r="E645">
        <v>240</v>
      </c>
      <c r="F645">
        <v>210</v>
      </c>
      <c r="G645">
        <v>6.5</v>
      </c>
      <c r="H645">
        <v>40000</v>
      </c>
      <c r="I645" t="s">
        <v>18</v>
      </c>
      <c r="J645">
        <v>5</v>
      </c>
      <c r="K645">
        <v>400</v>
      </c>
    </row>
    <row r="646" spans="1:11" hidden="1" x14ac:dyDescent="0.25">
      <c r="A646" t="s">
        <v>351</v>
      </c>
      <c r="B646" t="s">
        <v>436</v>
      </c>
      <c r="C646" t="s">
        <v>437</v>
      </c>
      <c r="D646">
        <v>1984</v>
      </c>
      <c r="E646">
        <v>240</v>
      </c>
      <c r="F646">
        <v>240</v>
      </c>
      <c r="G646">
        <v>7.3</v>
      </c>
      <c r="H646">
        <v>40000</v>
      </c>
      <c r="I646" t="s">
        <v>18</v>
      </c>
      <c r="J646">
        <v>5</v>
      </c>
      <c r="K646">
        <v>280</v>
      </c>
    </row>
    <row r="647" spans="1:11" hidden="1" x14ac:dyDescent="0.25">
      <c r="A647" t="s">
        <v>351</v>
      </c>
      <c r="B647" t="s">
        <v>485</v>
      </c>
      <c r="C647" t="s">
        <v>437</v>
      </c>
      <c r="D647">
        <v>1984</v>
      </c>
      <c r="E647">
        <v>290</v>
      </c>
      <c r="F647">
        <v>250</v>
      </c>
      <c r="G647">
        <v>5.6</v>
      </c>
      <c r="H647">
        <v>40000</v>
      </c>
      <c r="I647" t="s">
        <v>18</v>
      </c>
      <c r="J647">
        <v>5</v>
      </c>
      <c r="K647">
        <v>370</v>
      </c>
    </row>
    <row r="648" spans="1:11" hidden="1" x14ac:dyDescent="0.25">
      <c r="A648" t="s">
        <v>351</v>
      </c>
      <c r="B648" t="s">
        <v>493</v>
      </c>
      <c r="C648" t="s">
        <v>464</v>
      </c>
      <c r="D648">
        <v>1968</v>
      </c>
      <c r="E648">
        <v>167</v>
      </c>
      <c r="F648">
        <v>250</v>
      </c>
      <c r="G648">
        <v>4.9000000000000004</v>
      </c>
      <c r="H648">
        <v>40000</v>
      </c>
      <c r="I648" t="s">
        <v>18</v>
      </c>
      <c r="J648">
        <v>5</v>
      </c>
      <c r="K648">
        <v>400</v>
      </c>
    </row>
    <row r="649" spans="1:11" hidden="1" x14ac:dyDescent="0.25">
      <c r="A649" t="s">
        <v>351</v>
      </c>
      <c r="B649" t="s">
        <v>503</v>
      </c>
      <c r="C649" t="s">
        <v>464</v>
      </c>
      <c r="D649">
        <v>1968</v>
      </c>
      <c r="E649">
        <v>190</v>
      </c>
      <c r="F649">
        <v>220</v>
      </c>
      <c r="G649">
        <v>8</v>
      </c>
      <c r="H649">
        <v>40000</v>
      </c>
      <c r="I649" t="s">
        <v>50</v>
      </c>
      <c r="J649">
        <v>5</v>
      </c>
      <c r="K649">
        <v>400</v>
      </c>
    </row>
    <row r="650" spans="1:11" hidden="1" x14ac:dyDescent="0.25">
      <c r="A650" t="s">
        <v>1086</v>
      </c>
      <c r="B650" t="s">
        <v>1283</v>
      </c>
      <c r="C650" t="s">
        <v>1240</v>
      </c>
      <c r="D650">
        <v>1598</v>
      </c>
      <c r="E650">
        <v>225</v>
      </c>
      <c r="F650">
        <v>235</v>
      </c>
      <c r="G650">
        <v>6.8</v>
      </c>
      <c r="H650">
        <v>40000</v>
      </c>
      <c r="I650" t="s">
        <v>18</v>
      </c>
      <c r="J650">
        <v>5</v>
      </c>
      <c r="K650">
        <v>300</v>
      </c>
    </row>
    <row r="651" spans="1:11" hidden="1" x14ac:dyDescent="0.25">
      <c r="A651" t="s">
        <v>52</v>
      </c>
      <c r="B651" t="s">
        <v>654</v>
      </c>
      <c r="C651" t="s">
        <v>655</v>
      </c>
      <c r="D651">
        <v>1497</v>
      </c>
      <c r="F651">
        <v>200</v>
      </c>
      <c r="G651">
        <v>7.5</v>
      </c>
      <c r="H651">
        <v>40000</v>
      </c>
      <c r="I651" t="s">
        <v>65</v>
      </c>
      <c r="J651">
        <v>5</v>
      </c>
      <c r="K651">
        <v>330</v>
      </c>
    </row>
    <row r="652" spans="1:11" hidden="1" x14ac:dyDescent="0.25">
      <c r="A652" t="s">
        <v>269</v>
      </c>
      <c r="B652" t="s">
        <v>339</v>
      </c>
      <c r="C652" t="s">
        <v>330</v>
      </c>
      <c r="E652">
        <v>200</v>
      </c>
      <c r="F652">
        <v>200</v>
      </c>
      <c r="G652">
        <v>6.1</v>
      </c>
      <c r="H652">
        <v>40000</v>
      </c>
      <c r="I652" t="s">
        <v>132</v>
      </c>
      <c r="J652">
        <v>5</v>
      </c>
      <c r="K652">
        <v>395</v>
      </c>
    </row>
    <row r="653" spans="1:11" hidden="1" x14ac:dyDescent="0.25">
      <c r="A653" t="s">
        <v>351</v>
      </c>
      <c r="B653" t="s">
        <v>444</v>
      </c>
      <c r="C653" t="s">
        <v>445</v>
      </c>
      <c r="E653">
        <v>204</v>
      </c>
      <c r="F653">
        <v>222</v>
      </c>
      <c r="G653">
        <v>7.6</v>
      </c>
      <c r="H653">
        <v>40000</v>
      </c>
      <c r="I653" t="s">
        <v>65</v>
      </c>
      <c r="J653">
        <v>5</v>
      </c>
      <c r="K653">
        <v>350</v>
      </c>
    </row>
    <row r="654" spans="1:11" hidden="1" x14ac:dyDescent="0.25">
      <c r="A654" t="s">
        <v>1086</v>
      </c>
      <c r="B654" t="s">
        <v>1145</v>
      </c>
      <c r="C654" t="s">
        <v>330</v>
      </c>
      <c r="E654">
        <v>136</v>
      </c>
      <c r="F654">
        <v>200</v>
      </c>
      <c r="G654">
        <v>8.5</v>
      </c>
      <c r="H654">
        <v>40000</v>
      </c>
      <c r="I654" t="s">
        <v>132</v>
      </c>
      <c r="J654">
        <v>5</v>
      </c>
      <c r="K654">
        <v>260</v>
      </c>
    </row>
    <row r="655" spans="1:11" hidden="1" x14ac:dyDescent="0.25">
      <c r="A655" t="s">
        <v>1178</v>
      </c>
      <c r="B655" t="s">
        <v>1191</v>
      </c>
      <c r="C655" t="s">
        <v>1182</v>
      </c>
      <c r="E655">
        <v>160</v>
      </c>
      <c r="F655">
        <v>215</v>
      </c>
      <c r="G655">
        <v>9</v>
      </c>
      <c r="H655">
        <v>40000</v>
      </c>
      <c r="I655" t="s">
        <v>18</v>
      </c>
      <c r="J655">
        <v>5</v>
      </c>
      <c r="K655">
        <v>215</v>
      </c>
    </row>
    <row r="656" spans="1:11" hidden="1" x14ac:dyDescent="0.25">
      <c r="A656" t="s">
        <v>1086</v>
      </c>
      <c r="B656" t="s">
        <v>1291</v>
      </c>
      <c r="C656" t="s">
        <v>330</v>
      </c>
      <c r="E656">
        <v>136</v>
      </c>
      <c r="F656">
        <v>130</v>
      </c>
      <c r="G656">
        <v>9</v>
      </c>
      <c r="H656">
        <v>40000</v>
      </c>
      <c r="I656" t="s">
        <v>132</v>
      </c>
      <c r="J656">
        <v>5</v>
      </c>
      <c r="K656">
        <v>260</v>
      </c>
    </row>
    <row r="657" spans="1:11" hidden="1" x14ac:dyDescent="0.25">
      <c r="A657" t="s">
        <v>19</v>
      </c>
      <c r="B657" t="s">
        <v>1323</v>
      </c>
      <c r="C657" t="s">
        <v>1324</v>
      </c>
      <c r="E657">
        <v>292</v>
      </c>
      <c r="F657">
        <v>200</v>
      </c>
      <c r="G657">
        <v>6.5</v>
      </c>
      <c r="H657">
        <v>40000</v>
      </c>
      <c r="I657" t="s">
        <v>18</v>
      </c>
      <c r="J657">
        <v>5</v>
      </c>
      <c r="K657">
        <v>438</v>
      </c>
    </row>
    <row r="658" spans="1:11" hidden="1" x14ac:dyDescent="0.25">
      <c r="A658" t="s">
        <v>351</v>
      </c>
      <c r="B658" t="s">
        <v>398</v>
      </c>
      <c r="C658" t="s">
        <v>355</v>
      </c>
      <c r="D658">
        <v>1984</v>
      </c>
      <c r="E658">
        <v>280</v>
      </c>
      <c r="F658">
        <v>250</v>
      </c>
      <c r="G658">
        <v>5.5</v>
      </c>
      <c r="H658">
        <v>40000</v>
      </c>
      <c r="I658" t="s">
        <v>18</v>
      </c>
      <c r="J658">
        <v>4</v>
      </c>
      <c r="K658">
        <v>350</v>
      </c>
    </row>
    <row r="659" spans="1:11" hidden="1" x14ac:dyDescent="0.25">
      <c r="A659" t="s">
        <v>910</v>
      </c>
      <c r="B659" t="s">
        <v>1509</v>
      </c>
      <c r="C659" t="s">
        <v>1510</v>
      </c>
      <c r="D659">
        <v>1300</v>
      </c>
      <c r="E659">
        <v>276</v>
      </c>
      <c r="F659">
        <v>250</v>
      </c>
      <c r="G659">
        <v>5.5</v>
      </c>
      <c r="H659">
        <v>40000</v>
      </c>
      <c r="I659" t="s">
        <v>18</v>
      </c>
      <c r="J659">
        <v>4</v>
      </c>
      <c r="K659">
        <v>314</v>
      </c>
    </row>
    <row r="660" spans="1:11" hidden="1" x14ac:dyDescent="0.25">
      <c r="A660" t="s">
        <v>52</v>
      </c>
      <c r="B660" t="s">
        <v>668</v>
      </c>
      <c r="C660" t="s">
        <v>607</v>
      </c>
      <c r="D660">
        <v>2298</v>
      </c>
      <c r="F660">
        <v>150</v>
      </c>
      <c r="G660">
        <v>15</v>
      </c>
      <c r="H660">
        <v>40000</v>
      </c>
      <c r="I660" t="s">
        <v>50</v>
      </c>
      <c r="J660">
        <v>3</v>
      </c>
      <c r="K660">
        <v>360</v>
      </c>
    </row>
    <row r="661" spans="1:11" hidden="1" x14ac:dyDescent="0.25">
      <c r="A661" t="s">
        <v>351</v>
      </c>
      <c r="B661" t="s">
        <v>406</v>
      </c>
      <c r="C661" t="s">
        <v>382</v>
      </c>
      <c r="D661">
        <v>1968</v>
      </c>
      <c r="E661">
        <v>140</v>
      </c>
      <c r="F661">
        <v>160</v>
      </c>
      <c r="G661">
        <v>13</v>
      </c>
      <c r="H661">
        <v>40000</v>
      </c>
      <c r="I661" t="s">
        <v>50</v>
      </c>
      <c r="J661">
        <v>3</v>
      </c>
      <c r="K661">
        <v>410</v>
      </c>
    </row>
    <row r="662" spans="1:11" hidden="1" x14ac:dyDescent="0.25">
      <c r="A662" t="s">
        <v>1398</v>
      </c>
      <c r="B662" t="s">
        <v>1441</v>
      </c>
      <c r="C662" t="s">
        <v>1442</v>
      </c>
      <c r="D662">
        <v>3000</v>
      </c>
      <c r="E662">
        <v>150</v>
      </c>
      <c r="F662">
        <v>120</v>
      </c>
      <c r="H662">
        <v>40000</v>
      </c>
      <c r="I662" t="s">
        <v>50</v>
      </c>
      <c r="J662">
        <v>2</v>
      </c>
      <c r="K662">
        <v>370</v>
      </c>
    </row>
    <row r="663" spans="1:11" hidden="1" x14ac:dyDescent="0.25">
      <c r="A663" t="s">
        <v>52</v>
      </c>
      <c r="B663" t="s">
        <v>56</v>
      </c>
      <c r="C663" t="s">
        <v>54</v>
      </c>
      <c r="D663">
        <v>2998</v>
      </c>
      <c r="E663">
        <v>400</v>
      </c>
      <c r="F663">
        <v>290</v>
      </c>
      <c r="G663">
        <v>4.0999999999999996</v>
      </c>
      <c r="H663">
        <v>40000</v>
      </c>
      <c r="I663" t="s">
        <v>18</v>
      </c>
      <c r="J663">
        <v>2</v>
      </c>
      <c r="K663">
        <v>475</v>
      </c>
    </row>
    <row r="664" spans="1:11" hidden="1" x14ac:dyDescent="0.25">
      <c r="A664" t="s">
        <v>52</v>
      </c>
      <c r="B664" t="s">
        <v>519</v>
      </c>
      <c r="C664" t="s">
        <v>520</v>
      </c>
      <c r="D664">
        <v>2997</v>
      </c>
      <c r="F664">
        <v>250</v>
      </c>
      <c r="G664">
        <v>4.5</v>
      </c>
      <c r="H664">
        <v>40000</v>
      </c>
      <c r="I664" t="s">
        <v>18</v>
      </c>
      <c r="J664">
        <v>2</v>
      </c>
      <c r="K664">
        <v>475</v>
      </c>
    </row>
    <row r="665" spans="1:11" hidden="1" x14ac:dyDescent="0.25">
      <c r="A665" t="s">
        <v>43</v>
      </c>
      <c r="B665" t="s">
        <v>251</v>
      </c>
      <c r="C665" t="s">
        <v>13</v>
      </c>
      <c r="D665">
        <v>5663</v>
      </c>
      <c r="E665">
        <v>381</v>
      </c>
      <c r="F665">
        <v>220</v>
      </c>
      <c r="G665">
        <v>6.7</v>
      </c>
      <c r="H665">
        <v>39900</v>
      </c>
      <c r="I665" t="s">
        <v>18</v>
      </c>
      <c r="J665">
        <v>5</v>
      </c>
      <c r="K665">
        <v>650</v>
      </c>
    </row>
    <row r="666" spans="1:11" hidden="1" x14ac:dyDescent="0.25">
      <c r="A666" t="s">
        <v>351</v>
      </c>
      <c r="B666" t="s">
        <v>362</v>
      </c>
      <c r="C666" t="s">
        <v>132</v>
      </c>
      <c r="E666">
        <v>252</v>
      </c>
      <c r="F666">
        <v>160</v>
      </c>
      <c r="G666">
        <v>7.8</v>
      </c>
      <c r="H666">
        <v>39735</v>
      </c>
      <c r="I666" t="s">
        <v>132</v>
      </c>
      <c r="J666">
        <v>5</v>
      </c>
      <c r="K666">
        <v>310</v>
      </c>
    </row>
    <row r="667" spans="1:11" hidden="1" x14ac:dyDescent="0.25">
      <c r="A667" t="s">
        <v>218</v>
      </c>
      <c r="B667" t="s">
        <v>1117</v>
      </c>
      <c r="C667" t="s">
        <v>513</v>
      </c>
      <c r="D667">
        <v>3500</v>
      </c>
      <c r="E667">
        <v>290</v>
      </c>
      <c r="F667">
        <v>220</v>
      </c>
      <c r="G667">
        <v>8</v>
      </c>
      <c r="H667">
        <v>39500</v>
      </c>
      <c r="I667" t="s">
        <v>18</v>
      </c>
      <c r="J667">
        <v>8</v>
      </c>
      <c r="K667">
        <v>355</v>
      </c>
    </row>
    <row r="668" spans="1:11" hidden="1" x14ac:dyDescent="0.25">
      <c r="A668" t="s">
        <v>910</v>
      </c>
      <c r="B668" t="s">
        <v>1493</v>
      </c>
      <c r="C668" t="s">
        <v>1494</v>
      </c>
      <c r="D668">
        <v>2200</v>
      </c>
      <c r="E668">
        <v>187</v>
      </c>
      <c r="F668">
        <v>200</v>
      </c>
      <c r="G668">
        <v>9.1999999999999993</v>
      </c>
      <c r="H668">
        <v>39000</v>
      </c>
      <c r="I668" t="s">
        <v>50</v>
      </c>
      <c r="J668">
        <v>7</v>
      </c>
      <c r="K668">
        <v>450</v>
      </c>
    </row>
    <row r="669" spans="1:11" hidden="1" x14ac:dyDescent="0.25">
      <c r="A669" t="s">
        <v>52</v>
      </c>
      <c r="B669" t="s">
        <v>512</v>
      </c>
      <c r="C669" t="s">
        <v>513</v>
      </c>
      <c r="D669">
        <v>3498</v>
      </c>
      <c r="F669">
        <v>210</v>
      </c>
      <c r="G669">
        <v>7.5</v>
      </c>
      <c r="H669">
        <v>39000</v>
      </c>
      <c r="I669" t="s">
        <v>18</v>
      </c>
      <c r="J669">
        <v>5</v>
      </c>
      <c r="K669">
        <v>325</v>
      </c>
    </row>
    <row r="670" spans="1:11" x14ac:dyDescent="0.25">
      <c r="A670" t="s">
        <v>27</v>
      </c>
      <c r="B670" t="s">
        <v>204</v>
      </c>
      <c r="C670" t="s">
        <v>45</v>
      </c>
      <c r="D670">
        <v>1998</v>
      </c>
      <c r="E670">
        <v>178</v>
      </c>
      <c r="F670">
        <v>230</v>
      </c>
      <c r="G670">
        <v>7.1</v>
      </c>
      <c r="H670">
        <v>39000</v>
      </c>
      <c r="I670" t="s">
        <v>18</v>
      </c>
      <c r="J670">
        <v>5</v>
      </c>
      <c r="K670">
        <v>300</v>
      </c>
    </row>
    <row r="671" spans="1:11" x14ac:dyDescent="0.25">
      <c r="A671" t="s">
        <v>27</v>
      </c>
      <c r="B671" t="s">
        <v>207</v>
      </c>
      <c r="C671" t="s">
        <v>45</v>
      </c>
      <c r="D671">
        <v>1995</v>
      </c>
      <c r="E671">
        <v>163</v>
      </c>
      <c r="F671">
        <v>225</v>
      </c>
      <c r="G671">
        <v>7.7</v>
      </c>
      <c r="H671">
        <v>39000</v>
      </c>
      <c r="I671" t="s">
        <v>50</v>
      </c>
      <c r="J671">
        <v>5</v>
      </c>
      <c r="K671">
        <v>400</v>
      </c>
    </row>
    <row r="672" spans="1:11" hidden="1" x14ac:dyDescent="0.25">
      <c r="A672" t="s">
        <v>24</v>
      </c>
      <c r="B672" t="s">
        <v>173</v>
      </c>
      <c r="C672" t="s">
        <v>45</v>
      </c>
      <c r="D672">
        <v>1984</v>
      </c>
      <c r="E672">
        <v>248</v>
      </c>
      <c r="F672">
        <v>240</v>
      </c>
      <c r="G672">
        <v>6.5</v>
      </c>
      <c r="H672">
        <v>39000</v>
      </c>
      <c r="I672" t="s">
        <v>18</v>
      </c>
      <c r="J672">
        <v>5</v>
      </c>
      <c r="K672">
        <v>400</v>
      </c>
    </row>
    <row r="673" spans="1:11" hidden="1" x14ac:dyDescent="0.25">
      <c r="A673" t="s">
        <v>52</v>
      </c>
      <c r="B673" t="s">
        <v>596</v>
      </c>
      <c r="C673" t="s">
        <v>575</v>
      </c>
      <c r="D673">
        <v>1497</v>
      </c>
      <c r="F673">
        <v>180</v>
      </c>
      <c r="G673">
        <v>8.1999999999999993</v>
      </c>
      <c r="H673">
        <v>39000</v>
      </c>
      <c r="I673" t="s">
        <v>18</v>
      </c>
      <c r="J673">
        <v>5</v>
      </c>
      <c r="K673">
        <v>300</v>
      </c>
    </row>
    <row r="674" spans="1:11" hidden="1" x14ac:dyDescent="0.25">
      <c r="A674" t="s">
        <v>886</v>
      </c>
      <c r="B674" t="s">
        <v>899</v>
      </c>
      <c r="C674" t="s">
        <v>888</v>
      </c>
      <c r="D674">
        <v>3600</v>
      </c>
      <c r="E674">
        <v>285</v>
      </c>
      <c r="F674">
        <v>177</v>
      </c>
      <c r="G674">
        <v>8.1</v>
      </c>
      <c r="H674">
        <v>38775</v>
      </c>
      <c r="I674" t="s">
        <v>18</v>
      </c>
      <c r="J674">
        <v>5</v>
      </c>
      <c r="K674">
        <v>353</v>
      </c>
    </row>
    <row r="675" spans="1:11" hidden="1" x14ac:dyDescent="0.25">
      <c r="A675" t="s">
        <v>1007</v>
      </c>
      <c r="B675" t="s">
        <v>1032</v>
      </c>
      <c r="C675" t="s">
        <v>1009</v>
      </c>
      <c r="D675">
        <v>1500</v>
      </c>
      <c r="E675">
        <v>175</v>
      </c>
      <c r="F675">
        <v>190</v>
      </c>
      <c r="G675">
        <v>9.5</v>
      </c>
      <c r="H675">
        <v>38600</v>
      </c>
      <c r="I675" t="s">
        <v>18</v>
      </c>
      <c r="J675">
        <v>5</v>
      </c>
      <c r="K675">
        <v>275</v>
      </c>
    </row>
    <row r="676" spans="1:11" hidden="1" x14ac:dyDescent="0.25">
      <c r="A676" t="s">
        <v>43</v>
      </c>
      <c r="B676" t="s">
        <v>248</v>
      </c>
      <c r="C676" t="s">
        <v>54</v>
      </c>
      <c r="D676">
        <v>3456</v>
      </c>
      <c r="E676">
        <v>295</v>
      </c>
      <c r="F676">
        <v>220</v>
      </c>
      <c r="G676">
        <v>7.2</v>
      </c>
      <c r="H676">
        <v>38400</v>
      </c>
      <c r="I676" t="s">
        <v>241</v>
      </c>
      <c r="J676">
        <v>7</v>
      </c>
      <c r="K676">
        <v>370</v>
      </c>
    </row>
    <row r="677" spans="1:11" hidden="1" x14ac:dyDescent="0.25">
      <c r="A677" t="s">
        <v>43</v>
      </c>
      <c r="B677" t="s">
        <v>263</v>
      </c>
      <c r="C677" t="s">
        <v>264</v>
      </c>
      <c r="D677">
        <v>2494</v>
      </c>
      <c r="E677">
        <v>236</v>
      </c>
      <c r="F677">
        <v>200</v>
      </c>
      <c r="G677">
        <v>7.6</v>
      </c>
      <c r="H677">
        <v>38400</v>
      </c>
      <c r="I677" t="s">
        <v>65</v>
      </c>
      <c r="J677">
        <v>5</v>
      </c>
      <c r="K677">
        <v>400</v>
      </c>
    </row>
    <row r="678" spans="1:11" hidden="1" x14ac:dyDescent="0.25">
      <c r="A678" t="s">
        <v>787</v>
      </c>
      <c r="B678" t="s">
        <v>792</v>
      </c>
      <c r="C678" t="s">
        <v>789</v>
      </c>
      <c r="D678">
        <v>2000</v>
      </c>
      <c r="E678">
        <v>237</v>
      </c>
      <c r="F678">
        <v>240</v>
      </c>
      <c r="G678">
        <v>6.6</v>
      </c>
      <c r="H678">
        <v>38195</v>
      </c>
      <c r="I678" t="s">
        <v>18</v>
      </c>
      <c r="J678">
        <v>5</v>
      </c>
      <c r="K678">
        <v>350</v>
      </c>
    </row>
    <row r="679" spans="1:11" hidden="1" x14ac:dyDescent="0.25">
      <c r="A679" t="s">
        <v>1086</v>
      </c>
      <c r="B679" t="s">
        <v>1303</v>
      </c>
      <c r="C679" t="s">
        <v>1240</v>
      </c>
      <c r="D679">
        <v>1598</v>
      </c>
      <c r="E679">
        <v>180</v>
      </c>
      <c r="F679">
        <v>200</v>
      </c>
      <c r="G679">
        <v>9</v>
      </c>
      <c r="H679">
        <v>38000</v>
      </c>
      <c r="I679" t="s">
        <v>18</v>
      </c>
      <c r="J679">
        <v>7</v>
      </c>
      <c r="K679">
        <v>250</v>
      </c>
    </row>
    <row r="680" spans="1:11" hidden="1" x14ac:dyDescent="0.25">
      <c r="A680" t="s">
        <v>1007</v>
      </c>
      <c r="B680" t="s">
        <v>1067</v>
      </c>
      <c r="C680" t="s">
        <v>1045</v>
      </c>
      <c r="D680">
        <v>2488</v>
      </c>
      <c r="E680">
        <v>200</v>
      </c>
      <c r="F680">
        <v>175</v>
      </c>
      <c r="G680">
        <v>8.6</v>
      </c>
      <c r="H680">
        <v>38000</v>
      </c>
      <c r="I680" t="s">
        <v>18</v>
      </c>
      <c r="J680">
        <v>5</v>
      </c>
      <c r="K680">
        <v>259</v>
      </c>
    </row>
    <row r="681" spans="1:11" hidden="1" x14ac:dyDescent="0.25">
      <c r="A681" t="s">
        <v>218</v>
      </c>
      <c r="B681" t="s">
        <v>237</v>
      </c>
      <c r="C681" t="s">
        <v>45</v>
      </c>
      <c r="D681">
        <v>2480</v>
      </c>
      <c r="E681">
        <v>187</v>
      </c>
      <c r="F681">
        <v>200</v>
      </c>
      <c r="G681">
        <v>8.1</v>
      </c>
      <c r="H681">
        <v>38000</v>
      </c>
      <c r="I681" t="s">
        <v>18</v>
      </c>
      <c r="J681">
        <v>5</v>
      </c>
      <c r="K681">
        <v>400</v>
      </c>
    </row>
    <row r="682" spans="1:11" hidden="1" x14ac:dyDescent="0.25">
      <c r="A682" t="s">
        <v>218</v>
      </c>
      <c r="B682" t="s">
        <v>229</v>
      </c>
      <c r="C682" t="s">
        <v>45</v>
      </c>
      <c r="D682">
        <v>1998</v>
      </c>
      <c r="E682">
        <v>240</v>
      </c>
      <c r="F682">
        <v>210</v>
      </c>
      <c r="G682">
        <v>6.7</v>
      </c>
      <c r="H682">
        <v>38000</v>
      </c>
      <c r="I682" t="s">
        <v>18</v>
      </c>
      <c r="J682">
        <v>5</v>
      </c>
      <c r="K682">
        <v>400</v>
      </c>
    </row>
    <row r="683" spans="1:11" hidden="1" x14ac:dyDescent="0.25">
      <c r="A683" t="s">
        <v>52</v>
      </c>
      <c r="B683" t="s">
        <v>684</v>
      </c>
      <c r="C683" t="s">
        <v>616</v>
      </c>
      <c r="D683">
        <v>1998</v>
      </c>
      <c r="F683">
        <v>215</v>
      </c>
      <c r="G683">
        <v>6.4</v>
      </c>
      <c r="H683">
        <v>38000</v>
      </c>
      <c r="I683" t="s">
        <v>18</v>
      </c>
      <c r="J683">
        <v>5</v>
      </c>
      <c r="K683">
        <v>310</v>
      </c>
    </row>
    <row r="684" spans="1:11" x14ac:dyDescent="0.25">
      <c r="A684" t="s">
        <v>27</v>
      </c>
      <c r="B684" t="s">
        <v>192</v>
      </c>
      <c r="C684" t="s">
        <v>45</v>
      </c>
      <c r="D684">
        <v>1995</v>
      </c>
      <c r="E684">
        <v>190</v>
      </c>
      <c r="F684">
        <v>230</v>
      </c>
      <c r="G684">
        <v>6.9</v>
      </c>
      <c r="H684">
        <v>38000</v>
      </c>
      <c r="I684" t="s">
        <v>50</v>
      </c>
      <c r="J684">
        <v>5</v>
      </c>
      <c r="K684">
        <v>400</v>
      </c>
    </row>
    <row r="685" spans="1:11" hidden="1" x14ac:dyDescent="0.25">
      <c r="A685" t="s">
        <v>351</v>
      </c>
      <c r="B685" t="s">
        <v>463</v>
      </c>
      <c r="C685" t="s">
        <v>464</v>
      </c>
      <c r="D685">
        <v>1968</v>
      </c>
      <c r="E685">
        <v>184</v>
      </c>
      <c r="F685">
        <v>230</v>
      </c>
      <c r="G685">
        <v>7.5</v>
      </c>
      <c r="H685">
        <v>38000</v>
      </c>
      <c r="I685" t="s">
        <v>50</v>
      </c>
      <c r="J685">
        <v>5</v>
      </c>
      <c r="K685">
        <v>380</v>
      </c>
    </row>
    <row r="686" spans="1:11" hidden="1" x14ac:dyDescent="0.25">
      <c r="A686" t="s">
        <v>52</v>
      </c>
      <c r="B686" t="s">
        <v>574</v>
      </c>
      <c r="C686" t="s">
        <v>575</v>
      </c>
      <c r="D686">
        <v>1497</v>
      </c>
      <c r="F686">
        <v>180</v>
      </c>
      <c r="G686">
        <v>8.1999999999999993</v>
      </c>
      <c r="H686">
        <v>38000</v>
      </c>
      <c r="I686" t="s">
        <v>18</v>
      </c>
      <c r="J686">
        <v>5</v>
      </c>
      <c r="K686">
        <v>300</v>
      </c>
    </row>
    <row r="687" spans="1:11" hidden="1" x14ac:dyDescent="0.25">
      <c r="A687" t="s">
        <v>269</v>
      </c>
      <c r="B687" t="s">
        <v>341</v>
      </c>
      <c r="C687" t="s">
        <v>330</v>
      </c>
      <c r="E687">
        <v>161</v>
      </c>
      <c r="F687">
        <v>180</v>
      </c>
      <c r="G687">
        <v>7.8</v>
      </c>
      <c r="H687">
        <v>38000</v>
      </c>
      <c r="I687" t="s">
        <v>254</v>
      </c>
      <c r="J687">
        <v>5</v>
      </c>
      <c r="K687">
        <v>400</v>
      </c>
    </row>
    <row r="688" spans="1:11" hidden="1" x14ac:dyDescent="0.25">
      <c r="A688" t="s">
        <v>1086</v>
      </c>
      <c r="B688" t="s">
        <v>1274</v>
      </c>
      <c r="C688" t="s">
        <v>330</v>
      </c>
      <c r="E688">
        <v>136</v>
      </c>
      <c r="F688">
        <v>150</v>
      </c>
      <c r="G688">
        <v>8.5</v>
      </c>
      <c r="H688">
        <v>38000</v>
      </c>
      <c r="I688" t="s">
        <v>132</v>
      </c>
      <c r="J688">
        <v>5</v>
      </c>
      <c r="K688">
        <v>260</v>
      </c>
    </row>
    <row r="689" spans="1:11" hidden="1" x14ac:dyDescent="0.25">
      <c r="A689" t="s">
        <v>19</v>
      </c>
      <c r="B689" t="s">
        <v>1393</v>
      </c>
      <c r="C689" t="s">
        <v>1389</v>
      </c>
      <c r="E689">
        <v>221</v>
      </c>
      <c r="F689">
        <v>190</v>
      </c>
      <c r="G689">
        <v>7.5</v>
      </c>
      <c r="H689">
        <v>38000</v>
      </c>
      <c r="I689" t="s">
        <v>65</v>
      </c>
      <c r="J689">
        <v>5</v>
      </c>
      <c r="K689">
        <v>210</v>
      </c>
    </row>
    <row r="690" spans="1:11" hidden="1" x14ac:dyDescent="0.25">
      <c r="A690" t="s">
        <v>1007</v>
      </c>
      <c r="B690" t="s">
        <v>1061</v>
      </c>
      <c r="C690" t="s">
        <v>1062</v>
      </c>
      <c r="D690">
        <v>4300</v>
      </c>
      <c r="E690">
        <v>285</v>
      </c>
      <c r="F690">
        <v>180</v>
      </c>
      <c r="G690">
        <v>7.5</v>
      </c>
      <c r="H690">
        <v>37700</v>
      </c>
      <c r="I690" t="s">
        <v>18</v>
      </c>
      <c r="J690">
        <v>3</v>
      </c>
      <c r="K690">
        <v>413</v>
      </c>
    </row>
    <row r="691" spans="1:11" hidden="1" x14ac:dyDescent="0.25">
      <c r="A691" t="s">
        <v>886</v>
      </c>
      <c r="B691" t="s">
        <v>893</v>
      </c>
      <c r="C691" t="s">
        <v>894</v>
      </c>
      <c r="D691">
        <v>2400</v>
      </c>
      <c r="E691">
        <v>180</v>
      </c>
      <c r="F691">
        <v>195</v>
      </c>
      <c r="G691">
        <v>8.5</v>
      </c>
      <c r="H691">
        <v>37695</v>
      </c>
      <c r="I691" t="s">
        <v>18</v>
      </c>
      <c r="J691">
        <v>5</v>
      </c>
      <c r="K691">
        <v>230</v>
      </c>
    </row>
    <row r="692" spans="1:11" hidden="1" x14ac:dyDescent="0.25">
      <c r="A692" t="s">
        <v>1398</v>
      </c>
      <c r="B692" t="s">
        <v>1411</v>
      </c>
      <c r="C692" t="s">
        <v>1412</v>
      </c>
      <c r="D692">
        <v>2400</v>
      </c>
      <c r="E692">
        <v>181</v>
      </c>
      <c r="F692">
        <v>180</v>
      </c>
      <c r="G692">
        <v>11</v>
      </c>
      <c r="H692">
        <v>37500</v>
      </c>
      <c r="I692" t="s">
        <v>50</v>
      </c>
      <c r="J692">
        <v>7</v>
      </c>
      <c r="K692">
        <v>430</v>
      </c>
    </row>
    <row r="693" spans="1:11" hidden="1" x14ac:dyDescent="0.25">
      <c r="A693" t="s">
        <v>1398</v>
      </c>
      <c r="B693" t="s">
        <v>1436</v>
      </c>
      <c r="C693" t="s">
        <v>1412</v>
      </c>
      <c r="D693">
        <v>2400</v>
      </c>
      <c r="E693">
        <v>181</v>
      </c>
      <c r="F693">
        <v>180</v>
      </c>
      <c r="G693">
        <v>11</v>
      </c>
      <c r="H693">
        <v>37500</v>
      </c>
      <c r="I693" t="s">
        <v>50</v>
      </c>
      <c r="J693">
        <v>7</v>
      </c>
      <c r="K693">
        <v>430</v>
      </c>
    </row>
    <row r="694" spans="1:11" hidden="1" x14ac:dyDescent="0.25">
      <c r="A694" t="s">
        <v>1398</v>
      </c>
      <c r="B694" t="s">
        <v>1450</v>
      </c>
      <c r="C694" t="s">
        <v>1412</v>
      </c>
      <c r="D694">
        <v>2400</v>
      </c>
      <c r="E694">
        <v>181</v>
      </c>
      <c r="F694">
        <v>180</v>
      </c>
      <c r="G694">
        <v>11</v>
      </c>
      <c r="H694">
        <v>37500</v>
      </c>
      <c r="I694" t="s">
        <v>50</v>
      </c>
      <c r="J694">
        <v>7</v>
      </c>
      <c r="K694">
        <v>430</v>
      </c>
    </row>
    <row r="695" spans="1:11" hidden="1" x14ac:dyDescent="0.25">
      <c r="A695" t="s">
        <v>1398</v>
      </c>
      <c r="B695" t="s">
        <v>1419</v>
      </c>
      <c r="C695" t="s">
        <v>1420</v>
      </c>
      <c r="D695">
        <v>2200</v>
      </c>
      <c r="E695">
        <v>145</v>
      </c>
      <c r="F695">
        <v>175</v>
      </c>
      <c r="G695">
        <v>11</v>
      </c>
      <c r="H695">
        <v>37500</v>
      </c>
      <c r="I695" t="s">
        <v>50</v>
      </c>
      <c r="J695">
        <v>7</v>
      </c>
      <c r="K695">
        <v>360</v>
      </c>
    </row>
    <row r="696" spans="1:11" hidden="1" x14ac:dyDescent="0.25">
      <c r="A696" t="s">
        <v>1398</v>
      </c>
      <c r="B696" t="s">
        <v>1480</v>
      </c>
      <c r="C696" t="s">
        <v>588</v>
      </c>
      <c r="D696">
        <v>3000</v>
      </c>
      <c r="E696">
        <v>210</v>
      </c>
      <c r="F696">
        <v>220</v>
      </c>
      <c r="G696">
        <v>8.5</v>
      </c>
      <c r="H696">
        <v>37500</v>
      </c>
      <c r="I696" t="s">
        <v>18</v>
      </c>
      <c r="J696">
        <v>5</v>
      </c>
      <c r="K696">
        <v>270</v>
      </c>
    </row>
    <row r="697" spans="1:11" hidden="1" x14ac:dyDescent="0.25">
      <c r="A697" t="s">
        <v>1398</v>
      </c>
      <c r="B697" t="s">
        <v>1447</v>
      </c>
      <c r="C697" t="s">
        <v>1448</v>
      </c>
      <c r="D697">
        <v>2400</v>
      </c>
      <c r="E697">
        <v>188</v>
      </c>
      <c r="F697">
        <v>180</v>
      </c>
      <c r="G697">
        <v>10.5</v>
      </c>
      <c r="H697">
        <v>37500</v>
      </c>
      <c r="I697" t="s">
        <v>14</v>
      </c>
      <c r="J697">
        <v>5</v>
      </c>
      <c r="K697">
        <v>199</v>
      </c>
    </row>
    <row r="698" spans="1:11" hidden="1" x14ac:dyDescent="0.25">
      <c r="A698" t="s">
        <v>19</v>
      </c>
      <c r="B698" t="s">
        <v>1313</v>
      </c>
      <c r="C698" t="s">
        <v>1314</v>
      </c>
      <c r="E698">
        <v>282</v>
      </c>
      <c r="F698">
        <v>220</v>
      </c>
      <c r="G698">
        <v>6.5</v>
      </c>
      <c r="H698">
        <v>37500</v>
      </c>
      <c r="I698" t="s">
        <v>18</v>
      </c>
      <c r="J698">
        <v>5</v>
      </c>
      <c r="K698">
        <v>400</v>
      </c>
    </row>
    <row r="699" spans="1:11" hidden="1" x14ac:dyDescent="0.25">
      <c r="A699" t="s">
        <v>910</v>
      </c>
      <c r="B699" t="s">
        <v>1566</v>
      </c>
      <c r="C699" t="s">
        <v>1563</v>
      </c>
      <c r="D699">
        <v>1308</v>
      </c>
      <c r="E699">
        <v>280</v>
      </c>
      <c r="F699">
        <v>250</v>
      </c>
      <c r="G699">
        <v>5.5</v>
      </c>
      <c r="H699">
        <v>37500</v>
      </c>
      <c r="I699" t="s">
        <v>18</v>
      </c>
      <c r="J699">
        <v>2</v>
      </c>
      <c r="K699">
        <v>290</v>
      </c>
    </row>
    <row r="700" spans="1:11" hidden="1" x14ac:dyDescent="0.25">
      <c r="A700" t="s">
        <v>787</v>
      </c>
      <c r="B700" t="s">
        <v>921</v>
      </c>
      <c r="C700" t="s">
        <v>789</v>
      </c>
      <c r="D700">
        <v>2000</v>
      </c>
      <c r="E700">
        <v>235</v>
      </c>
      <c r="F700">
        <v>220</v>
      </c>
      <c r="G700">
        <v>7.6</v>
      </c>
      <c r="H700">
        <v>37490</v>
      </c>
      <c r="I700" t="s">
        <v>18</v>
      </c>
      <c r="J700">
        <v>5</v>
      </c>
      <c r="K700">
        <v>350</v>
      </c>
    </row>
    <row r="701" spans="1:11" hidden="1" x14ac:dyDescent="0.25">
      <c r="A701" t="s">
        <v>43</v>
      </c>
      <c r="B701" t="s">
        <v>249</v>
      </c>
      <c r="C701" t="s">
        <v>54</v>
      </c>
      <c r="D701">
        <v>3956</v>
      </c>
      <c r="E701">
        <v>270</v>
      </c>
      <c r="F701">
        <v>200</v>
      </c>
      <c r="G701">
        <v>7.5</v>
      </c>
      <c r="H701">
        <v>37400</v>
      </c>
      <c r="I701" t="s">
        <v>18</v>
      </c>
      <c r="J701">
        <v>5</v>
      </c>
      <c r="K701">
        <v>400</v>
      </c>
    </row>
    <row r="702" spans="1:11" hidden="1" x14ac:dyDescent="0.25">
      <c r="A702" t="s">
        <v>939</v>
      </c>
      <c r="B702" t="s">
        <v>991</v>
      </c>
      <c r="C702" t="s">
        <v>923</v>
      </c>
      <c r="D702">
        <v>3600</v>
      </c>
      <c r="E702">
        <v>310</v>
      </c>
      <c r="F702">
        <v>210</v>
      </c>
      <c r="G702">
        <v>7.1</v>
      </c>
      <c r="H702">
        <v>37200</v>
      </c>
      <c r="I702" t="s">
        <v>18</v>
      </c>
      <c r="J702">
        <v>7</v>
      </c>
      <c r="K702">
        <v>360</v>
      </c>
    </row>
    <row r="703" spans="1:11" hidden="1" x14ac:dyDescent="0.25">
      <c r="A703" t="s">
        <v>1007</v>
      </c>
      <c r="B703" t="s">
        <v>1016</v>
      </c>
      <c r="C703" t="s">
        <v>952</v>
      </c>
      <c r="D703">
        <v>5300</v>
      </c>
      <c r="E703">
        <v>355</v>
      </c>
      <c r="F703">
        <v>180</v>
      </c>
      <c r="G703">
        <v>7.3</v>
      </c>
      <c r="H703">
        <v>37100</v>
      </c>
      <c r="I703" t="s">
        <v>18</v>
      </c>
      <c r="J703">
        <v>6</v>
      </c>
      <c r="K703">
        <v>519</v>
      </c>
    </row>
    <row r="704" spans="1:11" x14ac:dyDescent="0.25">
      <c r="A704" t="s">
        <v>27</v>
      </c>
      <c r="B704" t="s">
        <v>195</v>
      </c>
      <c r="C704" t="s">
        <v>45</v>
      </c>
      <c r="D704">
        <v>1998</v>
      </c>
      <c r="E704">
        <v>178</v>
      </c>
      <c r="F704">
        <v>230</v>
      </c>
      <c r="G704">
        <v>7.1</v>
      </c>
      <c r="H704">
        <v>37000</v>
      </c>
      <c r="I704" t="s">
        <v>18</v>
      </c>
      <c r="J704">
        <v>5</v>
      </c>
      <c r="K704">
        <v>300</v>
      </c>
    </row>
    <row r="705" spans="1:11" hidden="1" x14ac:dyDescent="0.25">
      <c r="A705" t="s">
        <v>1086</v>
      </c>
      <c r="B705" t="s">
        <v>1307</v>
      </c>
      <c r="C705" t="s">
        <v>1240</v>
      </c>
      <c r="D705">
        <v>1598</v>
      </c>
      <c r="E705">
        <v>180</v>
      </c>
      <c r="F705">
        <v>210</v>
      </c>
      <c r="G705">
        <v>8.6</v>
      </c>
      <c r="H705">
        <v>37000</v>
      </c>
      <c r="I705" t="s">
        <v>18</v>
      </c>
      <c r="J705">
        <v>5</v>
      </c>
      <c r="K705">
        <v>300</v>
      </c>
    </row>
    <row r="706" spans="1:11" x14ac:dyDescent="0.25">
      <c r="A706" t="s">
        <v>27</v>
      </c>
      <c r="B706" t="s">
        <v>203</v>
      </c>
      <c r="C706" t="s">
        <v>188</v>
      </c>
      <c r="D706">
        <v>1499</v>
      </c>
      <c r="E706">
        <v>136</v>
      </c>
      <c r="F706">
        <v>213</v>
      </c>
      <c r="G706">
        <v>8.5</v>
      </c>
      <c r="H706">
        <v>37000</v>
      </c>
      <c r="I706" t="s">
        <v>18</v>
      </c>
      <c r="J706">
        <v>5</v>
      </c>
      <c r="K706">
        <v>250</v>
      </c>
    </row>
    <row r="707" spans="1:11" hidden="1" x14ac:dyDescent="0.25">
      <c r="A707" t="s">
        <v>218</v>
      </c>
      <c r="B707" t="s">
        <v>234</v>
      </c>
      <c r="C707" t="s">
        <v>227</v>
      </c>
      <c r="E707">
        <v>227</v>
      </c>
      <c r="F707">
        <v>180</v>
      </c>
      <c r="G707">
        <v>8</v>
      </c>
      <c r="H707">
        <v>37000</v>
      </c>
      <c r="I707" t="s">
        <v>65</v>
      </c>
      <c r="J707">
        <v>5</v>
      </c>
      <c r="K707">
        <v>350</v>
      </c>
    </row>
    <row r="708" spans="1:11" hidden="1" x14ac:dyDescent="0.25">
      <c r="A708" t="s">
        <v>19</v>
      </c>
      <c r="B708" t="s">
        <v>1384</v>
      </c>
      <c r="C708" t="s">
        <v>1367</v>
      </c>
      <c r="D708">
        <v>2000</v>
      </c>
      <c r="E708">
        <v>170</v>
      </c>
      <c r="F708">
        <v>160</v>
      </c>
      <c r="G708">
        <v>11.5</v>
      </c>
      <c r="H708">
        <v>37000</v>
      </c>
      <c r="I708" t="s">
        <v>50</v>
      </c>
      <c r="J708">
        <v>2</v>
      </c>
      <c r="K708">
        <v>405</v>
      </c>
    </row>
    <row r="709" spans="1:11" hidden="1" x14ac:dyDescent="0.25">
      <c r="A709" t="s">
        <v>43</v>
      </c>
      <c r="B709" t="s">
        <v>288</v>
      </c>
      <c r="C709" t="s">
        <v>289</v>
      </c>
      <c r="D709">
        <v>1618</v>
      </c>
      <c r="E709">
        <v>300</v>
      </c>
      <c r="F709">
        <v>230</v>
      </c>
      <c r="H709">
        <v>36995</v>
      </c>
      <c r="I709" t="s">
        <v>18</v>
      </c>
      <c r="J709">
        <v>5</v>
      </c>
      <c r="K709">
        <v>370</v>
      </c>
    </row>
    <row r="710" spans="1:11" hidden="1" x14ac:dyDescent="0.25">
      <c r="A710" t="s">
        <v>1007</v>
      </c>
      <c r="B710" t="s">
        <v>1014</v>
      </c>
      <c r="C710" t="s">
        <v>1015</v>
      </c>
      <c r="D710">
        <v>2700</v>
      </c>
      <c r="E710">
        <v>310</v>
      </c>
      <c r="F710">
        <v>190</v>
      </c>
      <c r="G710">
        <v>7.6</v>
      </c>
      <c r="H710">
        <v>36900</v>
      </c>
      <c r="I710" t="s">
        <v>18</v>
      </c>
      <c r="J710">
        <v>5</v>
      </c>
      <c r="K710">
        <v>583</v>
      </c>
    </row>
    <row r="711" spans="1:11" hidden="1" x14ac:dyDescent="0.25">
      <c r="A711" t="s">
        <v>1007</v>
      </c>
      <c r="B711" t="s">
        <v>1010</v>
      </c>
      <c r="C711" t="s">
        <v>1011</v>
      </c>
      <c r="D711">
        <v>2000</v>
      </c>
      <c r="E711">
        <v>228</v>
      </c>
      <c r="F711">
        <v>200</v>
      </c>
      <c r="G711">
        <v>7.8</v>
      </c>
      <c r="H711">
        <v>36800</v>
      </c>
      <c r="I711" t="s">
        <v>18</v>
      </c>
      <c r="J711">
        <v>7</v>
      </c>
      <c r="K711">
        <v>350</v>
      </c>
    </row>
    <row r="712" spans="1:11" hidden="1" x14ac:dyDescent="0.25">
      <c r="A712" t="s">
        <v>1007</v>
      </c>
      <c r="B712" t="s">
        <v>1024</v>
      </c>
      <c r="C712" t="s">
        <v>1009</v>
      </c>
      <c r="D712">
        <v>1500</v>
      </c>
      <c r="E712">
        <v>175</v>
      </c>
      <c r="F712">
        <v>190</v>
      </c>
      <c r="G712">
        <v>9.6</v>
      </c>
      <c r="H712">
        <v>36500</v>
      </c>
      <c r="I712" t="s">
        <v>18</v>
      </c>
      <c r="J712">
        <v>5</v>
      </c>
      <c r="K712">
        <v>275</v>
      </c>
    </row>
    <row r="713" spans="1:11" hidden="1" x14ac:dyDescent="0.25">
      <c r="A713" t="s">
        <v>910</v>
      </c>
      <c r="B713" t="s">
        <v>1499</v>
      </c>
      <c r="C713" t="s">
        <v>1484</v>
      </c>
      <c r="D713">
        <v>2000</v>
      </c>
      <c r="E713">
        <v>181</v>
      </c>
      <c r="F713">
        <v>225</v>
      </c>
      <c r="G713">
        <v>6.5</v>
      </c>
      <c r="H713">
        <v>36500</v>
      </c>
      <c r="I713" t="s">
        <v>18</v>
      </c>
      <c r="J713">
        <v>2</v>
      </c>
      <c r="K713">
        <v>205</v>
      </c>
    </row>
    <row r="714" spans="1:11" hidden="1" x14ac:dyDescent="0.25">
      <c r="A714" t="s">
        <v>1007</v>
      </c>
      <c r="B714" t="s">
        <v>1044</v>
      </c>
      <c r="C714" t="s">
        <v>1045</v>
      </c>
      <c r="D714">
        <v>2488</v>
      </c>
      <c r="E714">
        <v>200</v>
      </c>
      <c r="F714">
        <v>175</v>
      </c>
      <c r="G714">
        <v>8.5</v>
      </c>
      <c r="H714">
        <v>36300</v>
      </c>
      <c r="I714" t="s">
        <v>18</v>
      </c>
      <c r="J714">
        <v>5</v>
      </c>
      <c r="K714">
        <v>259</v>
      </c>
    </row>
    <row r="715" spans="1:11" hidden="1" x14ac:dyDescent="0.25">
      <c r="A715" t="s">
        <v>939</v>
      </c>
      <c r="B715" t="s">
        <v>992</v>
      </c>
      <c r="C715" t="s">
        <v>993</v>
      </c>
      <c r="D715">
        <v>2500</v>
      </c>
      <c r="E715">
        <v>193</v>
      </c>
      <c r="F715">
        <v>200</v>
      </c>
      <c r="G715">
        <v>9</v>
      </c>
      <c r="H715">
        <v>36100</v>
      </c>
      <c r="I715" t="s">
        <v>18</v>
      </c>
      <c r="J715">
        <v>5</v>
      </c>
      <c r="K715">
        <v>255</v>
      </c>
    </row>
    <row r="716" spans="1:11" hidden="1" x14ac:dyDescent="0.25">
      <c r="A716" t="s">
        <v>218</v>
      </c>
      <c r="B716" t="s">
        <v>236</v>
      </c>
      <c r="C716" t="s">
        <v>45</v>
      </c>
      <c r="D716">
        <v>2480</v>
      </c>
      <c r="E716">
        <v>187</v>
      </c>
      <c r="F716">
        <v>200</v>
      </c>
      <c r="G716">
        <v>8.1</v>
      </c>
      <c r="H716">
        <v>36000</v>
      </c>
      <c r="I716" t="s">
        <v>18</v>
      </c>
      <c r="J716">
        <v>5</v>
      </c>
      <c r="K716">
        <v>400</v>
      </c>
    </row>
    <row r="717" spans="1:11" hidden="1" x14ac:dyDescent="0.25">
      <c r="A717" t="s">
        <v>218</v>
      </c>
      <c r="B717" t="s">
        <v>222</v>
      </c>
      <c r="C717" t="s">
        <v>45</v>
      </c>
      <c r="D717">
        <v>1998</v>
      </c>
      <c r="E717">
        <v>240</v>
      </c>
      <c r="F717">
        <v>210</v>
      </c>
      <c r="G717">
        <v>6.7</v>
      </c>
      <c r="H717">
        <v>36000</v>
      </c>
      <c r="I717" t="s">
        <v>18</v>
      </c>
      <c r="J717">
        <v>5</v>
      </c>
      <c r="K717">
        <v>400</v>
      </c>
    </row>
    <row r="718" spans="1:11" x14ac:dyDescent="0.25">
      <c r="A718" t="s">
        <v>27</v>
      </c>
      <c r="B718" t="s">
        <v>209</v>
      </c>
      <c r="C718" t="s">
        <v>45</v>
      </c>
      <c r="D718">
        <v>1995</v>
      </c>
      <c r="E718">
        <v>150</v>
      </c>
      <c r="F718">
        <v>216</v>
      </c>
      <c r="G718">
        <v>8.4</v>
      </c>
      <c r="H718">
        <v>36000</v>
      </c>
      <c r="I718" t="s">
        <v>50</v>
      </c>
      <c r="J718">
        <v>5</v>
      </c>
      <c r="K718">
        <v>380</v>
      </c>
    </row>
    <row r="719" spans="1:11" hidden="1" x14ac:dyDescent="0.25">
      <c r="A719" t="s">
        <v>351</v>
      </c>
      <c r="B719" t="s">
        <v>381</v>
      </c>
      <c r="C719" t="s">
        <v>382</v>
      </c>
      <c r="D719">
        <v>1968</v>
      </c>
      <c r="E719">
        <v>215</v>
      </c>
      <c r="F719">
        <v>220</v>
      </c>
      <c r="G719">
        <v>7.8</v>
      </c>
      <c r="H719">
        <v>36000</v>
      </c>
      <c r="I719" t="s">
        <v>50</v>
      </c>
      <c r="J719">
        <v>5</v>
      </c>
      <c r="K719">
        <v>400</v>
      </c>
    </row>
    <row r="720" spans="1:11" hidden="1" x14ac:dyDescent="0.25">
      <c r="A720" t="s">
        <v>218</v>
      </c>
      <c r="B720" t="s">
        <v>1149</v>
      </c>
      <c r="C720" t="s">
        <v>1102</v>
      </c>
      <c r="D720">
        <v>1591</v>
      </c>
      <c r="E720">
        <v>139</v>
      </c>
      <c r="F720">
        <v>180</v>
      </c>
      <c r="G720">
        <v>10.5</v>
      </c>
      <c r="H720">
        <v>36000</v>
      </c>
      <c r="I720" t="s">
        <v>65</v>
      </c>
      <c r="J720">
        <v>5</v>
      </c>
      <c r="K720">
        <v>265</v>
      </c>
    </row>
    <row r="721" spans="1:11" x14ac:dyDescent="0.25">
      <c r="A721" t="s">
        <v>27</v>
      </c>
      <c r="B721" t="s">
        <v>208</v>
      </c>
      <c r="C721" t="s">
        <v>188</v>
      </c>
      <c r="D721">
        <v>1499</v>
      </c>
      <c r="E721">
        <v>136</v>
      </c>
      <c r="F721">
        <v>213</v>
      </c>
      <c r="G721">
        <v>8.5</v>
      </c>
      <c r="H721">
        <v>36000</v>
      </c>
      <c r="I721" t="s">
        <v>18</v>
      </c>
      <c r="J721">
        <v>5</v>
      </c>
      <c r="K721">
        <v>250</v>
      </c>
    </row>
    <row r="722" spans="1:11" hidden="1" x14ac:dyDescent="0.25">
      <c r="A722" t="s">
        <v>52</v>
      </c>
      <c r="B722" t="s">
        <v>576</v>
      </c>
      <c r="C722" t="s">
        <v>577</v>
      </c>
      <c r="D722">
        <v>1332</v>
      </c>
      <c r="F722">
        <v>190</v>
      </c>
      <c r="G722">
        <v>9.1999999999999993</v>
      </c>
      <c r="H722">
        <v>36000</v>
      </c>
      <c r="I722" t="s">
        <v>65</v>
      </c>
      <c r="J722">
        <v>5</v>
      </c>
      <c r="K722">
        <v>270</v>
      </c>
    </row>
    <row r="723" spans="1:11" hidden="1" x14ac:dyDescent="0.25">
      <c r="A723" t="s">
        <v>19</v>
      </c>
      <c r="B723" t="s">
        <v>1382</v>
      </c>
      <c r="C723" t="s">
        <v>1383</v>
      </c>
      <c r="D723">
        <v>7300</v>
      </c>
      <c r="E723">
        <v>350</v>
      </c>
      <c r="F723">
        <v>140</v>
      </c>
      <c r="G723">
        <v>13</v>
      </c>
      <c r="H723">
        <v>36000</v>
      </c>
      <c r="I723" t="s">
        <v>18</v>
      </c>
      <c r="J723">
        <v>2</v>
      </c>
      <c r="K723">
        <v>569</v>
      </c>
    </row>
    <row r="724" spans="1:11" hidden="1" x14ac:dyDescent="0.25">
      <c r="A724" t="s">
        <v>52</v>
      </c>
      <c r="B724" t="s">
        <v>698</v>
      </c>
      <c r="C724" t="s">
        <v>374</v>
      </c>
      <c r="D724">
        <v>3954</v>
      </c>
      <c r="F724">
        <v>160</v>
      </c>
      <c r="G724">
        <v>10</v>
      </c>
      <c r="H724">
        <v>36000</v>
      </c>
      <c r="I724" t="s">
        <v>18</v>
      </c>
      <c r="J724">
        <v>2</v>
      </c>
      <c r="K724">
        <v>385</v>
      </c>
    </row>
    <row r="725" spans="1:11" hidden="1" x14ac:dyDescent="0.25">
      <c r="A725" t="s">
        <v>939</v>
      </c>
      <c r="B725" t="s">
        <v>948</v>
      </c>
      <c r="C725" t="s">
        <v>923</v>
      </c>
      <c r="D725">
        <v>3600</v>
      </c>
      <c r="E725">
        <v>310</v>
      </c>
      <c r="F725">
        <v>210</v>
      </c>
      <c r="G725">
        <v>7</v>
      </c>
      <c r="H725">
        <v>35915</v>
      </c>
      <c r="I725" t="s">
        <v>18</v>
      </c>
      <c r="J725">
        <v>7</v>
      </c>
      <c r="K725">
        <v>360</v>
      </c>
    </row>
    <row r="726" spans="1:11" hidden="1" x14ac:dyDescent="0.25">
      <c r="A726" t="s">
        <v>218</v>
      </c>
      <c r="B726" t="s">
        <v>1111</v>
      </c>
      <c r="C726" t="s">
        <v>1112</v>
      </c>
      <c r="D726">
        <v>2500</v>
      </c>
      <c r="E726">
        <v>191</v>
      </c>
      <c r="F726">
        <v>210</v>
      </c>
      <c r="G726">
        <v>8.5</v>
      </c>
      <c r="H726">
        <v>35500</v>
      </c>
      <c r="I726" t="s">
        <v>18</v>
      </c>
      <c r="J726">
        <v>7</v>
      </c>
      <c r="K726">
        <v>246</v>
      </c>
    </row>
    <row r="727" spans="1:11" hidden="1" x14ac:dyDescent="0.25">
      <c r="A727" t="s">
        <v>1086</v>
      </c>
      <c r="B727" t="s">
        <v>1268</v>
      </c>
      <c r="C727" t="s">
        <v>1240</v>
      </c>
      <c r="D727">
        <v>1998</v>
      </c>
      <c r="E727">
        <v>180</v>
      </c>
      <c r="F727">
        <v>235</v>
      </c>
      <c r="G727">
        <v>8</v>
      </c>
      <c r="H727">
        <v>35500</v>
      </c>
      <c r="I727" t="s">
        <v>18</v>
      </c>
      <c r="J727">
        <v>5</v>
      </c>
      <c r="K727">
        <v>300</v>
      </c>
    </row>
    <row r="728" spans="1:11" hidden="1" x14ac:dyDescent="0.25">
      <c r="A728" t="s">
        <v>886</v>
      </c>
      <c r="B728" t="s">
        <v>887</v>
      </c>
      <c r="C728" t="s">
        <v>888</v>
      </c>
      <c r="D728">
        <v>3600</v>
      </c>
      <c r="E728">
        <v>285</v>
      </c>
      <c r="F728">
        <v>180</v>
      </c>
      <c r="G728">
        <v>6.8</v>
      </c>
      <c r="H728">
        <v>35195</v>
      </c>
      <c r="I728" t="s">
        <v>18</v>
      </c>
      <c r="J728">
        <v>4</v>
      </c>
      <c r="K728">
        <v>353</v>
      </c>
    </row>
    <row r="729" spans="1:11" hidden="1" x14ac:dyDescent="0.25">
      <c r="A729" t="s">
        <v>19</v>
      </c>
      <c r="B729" t="s">
        <v>1381</v>
      </c>
      <c r="C729" t="s">
        <v>1367</v>
      </c>
      <c r="D729">
        <v>2000</v>
      </c>
      <c r="E729">
        <v>130</v>
      </c>
      <c r="F729">
        <v>160</v>
      </c>
      <c r="G729">
        <v>12.5</v>
      </c>
      <c r="H729">
        <v>35000</v>
      </c>
      <c r="I729" t="s">
        <v>50</v>
      </c>
      <c r="J729">
        <v>9</v>
      </c>
      <c r="K729">
        <v>385</v>
      </c>
    </row>
    <row r="730" spans="1:11" hidden="1" x14ac:dyDescent="0.25">
      <c r="A730" t="s">
        <v>351</v>
      </c>
      <c r="B730" t="s">
        <v>438</v>
      </c>
      <c r="C730" t="s">
        <v>439</v>
      </c>
      <c r="D730">
        <v>1968</v>
      </c>
      <c r="E730">
        <v>153</v>
      </c>
      <c r="F730">
        <v>180</v>
      </c>
      <c r="G730">
        <v>12.2</v>
      </c>
      <c r="H730">
        <v>35000</v>
      </c>
      <c r="I730" t="s">
        <v>50</v>
      </c>
      <c r="J730">
        <v>9</v>
      </c>
      <c r="K730">
        <v>340</v>
      </c>
    </row>
    <row r="731" spans="1:11" hidden="1" x14ac:dyDescent="0.25">
      <c r="A731" t="s">
        <v>52</v>
      </c>
      <c r="B731" t="s">
        <v>532</v>
      </c>
      <c r="C731" t="s">
        <v>374</v>
      </c>
      <c r="D731">
        <v>3954</v>
      </c>
      <c r="F731">
        <v>200</v>
      </c>
      <c r="G731">
        <v>7.8</v>
      </c>
      <c r="H731">
        <v>35000</v>
      </c>
      <c r="I731" t="s">
        <v>18</v>
      </c>
      <c r="J731">
        <v>7</v>
      </c>
      <c r="K731">
        <v>381</v>
      </c>
    </row>
    <row r="732" spans="1:11" hidden="1" x14ac:dyDescent="0.25">
      <c r="A732" t="s">
        <v>52</v>
      </c>
      <c r="B732" t="s">
        <v>61</v>
      </c>
      <c r="C732" t="s">
        <v>54</v>
      </c>
      <c r="D732">
        <v>3498</v>
      </c>
      <c r="E732">
        <v>284</v>
      </c>
      <c r="F732">
        <v>225</v>
      </c>
      <c r="G732">
        <v>6.5</v>
      </c>
      <c r="H732">
        <v>35000</v>
      </c>
      <c r="I732" t="s">
        <v>18</v>
      </c>
      <c r="J732">
        <v>7</v>
      </c>
      <c r="K732">
        <v>351</v>
      </c>
    </row>
    <row r="733" spans="1:11" hidden="1" x14ac:dyDescent="0.25">
      <c r="A733" t="s">
        <v>1086</v>
      </c>
      <c r="B733" t="s">
        <v>1267</v>
      </c>
      <c r="C733" t="s">
        <v>1240</v>
      </c>
      <c r="D733">
        <v>1998</v>
      </c>
      <c r="E733">
        <v>165</v>
      </c>
      <c r="F733">
        <v>200</v>
      </c>
      <c r="G733">
        <v>9.5</v>
      </c>
      <c r="H733">
        <v>35000</v>
      </c>
      <c r="I733" t="s">
        <v>50</v>
      </c>
      <c r="J733">
        <v>7</v>
      </c>
      <c r="K733">
        <v>400</v>
      </c>
    </row>
    <row r="734" spans="1:11" hidden="1" x14ac:dyDescent="0.25">
      <c r="A734" t="s">
        <v>351</v>
      </c>
      <c r="B734" t="s">
        <v>399</v>
      </c>
      <c r="C734" t="s">
        <v>355</v>
      </c>
      <c r="D734">
        <v>1984</v>
      </c>
      <c r="E734">
        <v>207</v>
      </c>
      <c r="F734">
        <v>215</v>
      </c>
      <c r="G734">
        <v>7.6</v>
      </c>
      <c r="H734">
        <v>35000</v>
      </c>
      <c r="I734" t="s">
        <v>18</v>
      </c>
      <c r="J734">
        <v>7</v>
      </c>
      <c r="K734">
        <v>320</v>
      </c>
    </row>
    <row r="735" spans="1:11" hidden="1" x14ac:dyDescent="0.25">
      <c r="A735" t="s">
        <v>351</v>
      </c>
      <c r="B735" t="s">
        <v>487</v>
      </c>
      <c r="C735" t="s">
        <v>464</v>
      </c>
      <c r="D735">
        <v>1968</v>
      </c>
      <c r="E735">
        <v>167</v>
      </c>
      <c r="F735">
        <v>200</v>
      </c>
      <c r="G735">
        <v>8.3000000000000007</v>
      </c>
      <c r="H735">
        <v>35000</v>
      </c>
      <c r="I735" t="s">
        <v>50</v>
      </c>
      <c r="J735">
        <v>7</v>
      </c>
      <c r="K735">
        <v>350</v>
      </c>
    </row>
    <row r="736" spans="1:11" hidden="1" x14ac:dyDescent="0.25">
      <c r="A736" t="s">
        <v>1086</v>
      </c>
      <c r="B736" t="s">
        <v>1301</v>
      </c>
      <c r="C736" t="s">
        <v>1240</v>
      </c>
      <c r="D736">
        <v>1499</v>
      </c>
      <c r="E736">
        <v>130</v>
      </c>
      <c r="F736">
        <v>190</v>
      </c>
      <c r="G736">
        <v>10.199999999999999</v>
      </c>
      <c r="H736">
        <v>35000</v>
      </c>
      <c r="I736" t="s">
        <v>18</v>
      </c>
      <c r="J736">
        <v>7</v>
      </c>
      <c r="K736">
        <v>240</v>
      </c>
    </row>
    <row r="737" spans="1:11" hidden="1" x14ac:dyDescent="0.25">
      <c r="A737" t="s">
        <v>52</v>
      </c>
      <c r="B737" t="s">
        <v>671</v>
      </c>
      <c r="C737" t="s">
        <v>672</v>
      </c>
      <c r="D737">
        <v>1198</v>
      </c>
      <c r="F737">
        <v>160</v>
      </c>
      <c r="G737">
        <v>12</v>
      </c>
      <c r="H737">
        <v>35000</v>
      </c>
      <c r="I737" t="s">
        <v>65</v>
      </c>
      <c r="J737">
        <v>7</v>
      </c>
      <c r="K737">
        <v>320</v>
      </c>
    </row>
    <row r="738" spans="1:11" hidden="1" x14ac:dyDescent="0.25">
      <c r="A738" t="s">
        <v>52</v>
      </c>
      <c r="B738" t="s">
        <v>58</v>
      </c>
      <c r="C738" t="s">
        <v>54</v>
      </c>
      <c r="D738">
        <v>3498</v>
      </c>
      <c r="E738">
        <v>300</v>
      </c>
      <c r="F738">
        <v>240</v>
      </c>
      <c r="G738">
        <v>5.8</v>
      </c>
      <c r="H738">
        <v>35000</v>
      </c>
      <c r="I738" t="s">
        <v>18</v>
      </c>
      <c r="J738">
        <v>5</v>
      </c>
      <c r="K738">
        <v>354</v>
      </c>
    </row>
    <row r="739" spans="1:11" hidden="1" x14ac:dyDescent="0.25">
      <c r="A739" t="s">
        <v>1226</v>
      </c>
      <c r="B739" t="s">
        <v>1239</v>
      </c>
      <c r="C739" t="s">
        <v>1240</v>
      </c>
      <c r="D739">
        <v>2400</v>
      </c>
      <c r="E739">
        <v>206</v>
      </c>
      <c r="F739">
        <v>210</v>
      </c>
      <c r="G739">
        <v>6</v>
      </c>
      <c r="H739">
        <v>35000</v>
      </c>
      <c r="I739" t="s">
        <v>18</v>
      </c>
      <c r="J739">
        <v>5</v>
      </c>
      <c r="K739">
        <v>247</v>
      </c>
    </row>
    <row r="740" spans="1:11" hidden="1" x14ac:dyDescent="0.25">
      <c r="A740" t="s">
        <v>24</v>
      </c>
      <c r="B740" t="s">
        <v>174</v>
      </c>
      <c r="C740" t="s">
        <v>45</v>
      </c>
      <c r="D740">
        <v>1984</v>
      </c>
      <c r="E740">
        <v>248</v>
      </c>
      <c r="F740">
        <v>230</v>
      </c>
      <c r="G740">
        <v>7.3</v>
      </c>
      <c r="H740">
        <v>35000</v>
      </c>
      <c r="I740" t="s">
        <v>18</v>
      </c>
      <c r="J740">
        <v>5</v>
      </c>
      <c r="K740">
        <v>400</v>
      </c>
    </row>
    <row r="741" spans="1:11" hidden="1" x14ac:dyDescent="0.25">
      <c r="A741" t="s">
        <v>351</v>
      </c>
      <c r="B741" t="s">
        <v>397</v>
      </c>
      <c r="C741" t="s">
        <v>382</v>
      </c>
      <c r="D741">
        <v>1968</v>
      </c>
      <c r="E741">
        <v>174</v>
      </c>
      <c r="F741">
        <v>210</v>
      </c>
      <c r="G741">
        <v>7.1</v>
      </c>
      <c r="H741">
        <v>35000</v>
      </c>
      <c r="I741" t="s">
        <v>18</v>
      </c>
      <c r="J741">
        <v>5</v>
      </c>
      <c r="K741">
        <v>350</v>
      </c>
    </row>
    <row r="742" spans="1:11" hidden="1" x14ac:dyDescent="0.25">
      <c r="A742" t="s">
        <v>351</v>
      </c>
      <c r="B742" t="s">
        <v>470</v>
      </c>
      <c r="C742" t="s">
        <v>464</v>
      </c>
      <c r="D742">
        <v>1968</v>
      </c>
      <c r="E742">
        <v>175</v>
      </c>
      <c r="F742">
        <v>220</v>
      </c>
      <c r="G742">
        <v>7.8</v>
      </c>
      <c r="H742">
        <v>35000</v>
      </c>
      <c r="I742" t="s">
        <v>18</v>
      </c>
      <c r="J742">
        <v>5</v>
      </c>
      <c r="K742">
        <v>320</v>
      </c>
    </row>
    <row r="743" spans="1:11" hidden="1" x14ac:dyDescent="0.25">
      <c r="A743" t="s">
        <v>1086</v>
      </c>
      <c r="B743" t="s">
        <v>1276</v>
      </c>
      <c r="C743" t="s">
        <v>1240</v>
      </c>
      <c r="D743">
        <v>1598</v>
      </c>
      <c r="E743">
        <v>270</v>
      </c>
      <c r="F743">
        <v>250</v>
      </c>
      <c r="G743">
        <v>6</v>
      </c>
      <c r="H743">
        <v>35000</v>
      </c>
      <c r="I743" t="s">
        <v>18</v>
      </c>
      <c r="J743">
        <v>5</v>
      </c>
      <c r="K743">
        <v>330</v>
      </c>
    </row>
    <row r="744" spans="1:11" hidden="1" x14ac:dyDescent="0.25">
      <c r="A744" t="s">
        <v>1086</v>
      </c>
      <c r="B744" t="s">
        <v>1282</v>
      </c>
      <c r="C744" t="s">
        <v>1240</v>
      </c>
      <c r="D744">
        <v>1598</v>
      </c>
      <c r="E744">
        <v>200</v>
      </c>
      <c r="F744">
        <v>220</v>
      </c>
      <c r="G744">
        <v>7.5</v>
      </c>
      <c r="H744">
        <v>35000</v>
      </c>
      <c r="I744" t="s">
        <v>18</v>
      </c>
      <c r="J744">
        <v>5</v>
      </c>
      <c r="K744">
        <v>280</v>
      </c>
    </row>
    <row r="745" spans="1:11" hidden="1" x14ac:dyDescent="0.25">
      <c r="A745" t="s">
        <v>1086</v>
      </c>
      <c r="B745" t="s">
        <v>1302</v>
      </c>
      <c r="C745" t="s">
        <v>1240</v>
      </c>
      <c r="D745">
        <v>1598</v>
      </c>
      <c r="E745">
        <v>180</v>
      </c>
      <c r="F745">
        <v>210</v>
      </c>
      <c r="G745">
        <v>8.5</v>
      </c>
      <c r="H745">
        <v>35000</v>
      </c>
      <c r="I745" t="s">
        <v>18</v>
      </c>
      <c r="J745">
        <v>5</v>
      </c>
      <c r="K745">
        <v>250</v>
      </c>
    </row>
    <row r="746" spans="1:11" hidden="1" x14ac:dyDescent="0.25">
      <c r="A746" t="s">
        <v>1086</v>
      </c>
      <c r="B746" t="s">
        <v>1306</v>
      </c>
      <c r="C746" t="s">
        <v>1240</v>
      </c>
      <c r="D746">
        <v>1598</v>
      </c>
      <c r="E746">
        <v>180</v>
      </c>
      <c r="F746">
        <v>220</v>
      </c>
      <c r="G746">
        <v>8.4</v>
      </c>
      <c r="H746">
        <v>35000</v>
      </c>
      <c r="I746" t="s">
        <v>18</v>
      </c>
      <c r="J746">
        <v>5</v>
      </c>
      <c r="K746">
        <v>300</v>
      </c>
    </row>
    <row r="747" spans="1:11" x14ac:dyDescent="0.25">
      <c r="A747" t="s">
        <v>27</v>
      </c>
      <c r="B747" t="s">
        <v>202</v>
      </c>
      <c r="C747" t="s">
        <v>188</v>
      </c>
      <c r="D747">
        <v>1499</v>
      </c>
      <c r="E747">
        <v>136</v>
      </c>
      <c r="F747">
        <v>213</v>
      </c>
      <c r="G747">
        <v>8.5</v>
      </c>
      <c r="H747">
        <v>35000</v>
      </c>
      <c r="I747" t="s">
        <v>18</v>
      </c>
      <c r="J747">
        <v>5</v>
      </c>
      <c r="K747">
        <v>250</v>
      </c>
    </row>
    <row r="748" spans="1:11" x14ac:dyDescent="0.25">
      <c r="A748" t="s">
        <v>27</v>
      </c>
      <c r="B748" t="s">
        <v>212</v>
      </c>
      <c r="C748" t="s">
        <v>188</v>
      </c>
      <c r="D748">
        <v>1499</v>
      </c>
      <c r="E748">
        <v>136</v>
      </c>
      <c r="F748">
        <v>213</v>
      </c>
      <c r="G748">
        <v>8.5</v>
      </c>
      <c r="H748">
        <v>35000</v>
      </c>
      <c r="I748" t="s">
        <v>18</v>
      </c>
      <c r="J748">
        <v>5</v>
      </c>
      <c r="K748">
        <v>250</v>
      </c>
    </row>
    <row r="749" spans="1:11" hidden="1" x14ac:dyDescent="0.25">
      <c r="A749" t="s">
        <v>1086</v>
      </c>
      <c r="B749" t="s">
        <v>1281</v>
      </c>
      <c r="C749" t="s">
        <v>1240</v>
      </c>
      <c r="D749">
        <v>1499</v>
      </c>
      <c r="E749">
        <v>180</v>
      </c>
      <c r="F749">
        <v>225</v>
      </c>
      <c r="G749">
        <v>8</v>
      </c>
      <c r="H749">
        <v>35000</v>
      </c>
      <c r="I749" t="s">
        <v>18</v>
      </c>
      <c r="J749">
        <v>5</v>
      </c>
      <c r="K749">
        <v>250</v>
      </c>
    </row>
    <row r="750" spans="1:11" hidden="1" x14ac:dyDescent="0.25">
      <c r="A750" t="s">
        <v>1007</v>
      </c>
      <c r="B750" t="s">
        <v>1078</v>
      </c>
      <c r="C750" t="s">
        <v>1051</v>
      </c>
      <c r="D750">
        <v>1490</v>
      </c>
      <c r="E750">
        <v>170</v>
      </c>
      <c r="F750">
        <v>200</v>
      </c>
      <c r="G750">
        <v>9.3000000000000007</v>
      </c>
      <c r="H750">
        <v>35000</v>
      </c>
      <c r="I750" t="s">
        <v>18</v>
      </c>
      <c r="J750">
        <v>5</v>
      </c>
      <c r="K750">
        <v>275</v>
      </c>
    </row>
    <row r="751" spans="1:11" hidden="1" x14ac:dyDescent="0.25">
      <c r="A751" t="s">
        <v>43</v>
      </c>
      <c r="B751" t="s">
        <v>315</v>
      </c>
      <c r="C751" t="s">
        <v>131</v>
      </c>
      <c r="E751">
        <v>241</v>
      </c>
      <c r="F751">
        <v>160</v>
      </c>
      <c r="G751">
        <v>7.5</v>
      </c>
      <c r="H751">
        <v>35000</v>
      </c>
      <c r="I751" t="s">
        <v>132</v>
      </c>
      <c r="J751">
        <v>5</v>
      </c>
      <c r="K751">
        <v>340</v>
      </c>
    </row>
    <row r="752" spans="1:11" hidden="1" x14ac:dyDescent="0.25">
      <c r="A752" t="s">
        <v>351</v>
      </c>
      <c r="B752" t="s">
        <v>377</v>
      </c>
      <c r="C752" t="s">
        <v>132</v>
      </c>
      <c r="E752">
        <v>204</v>
      </c>
      <c r="F752">
        <v>160</v>
      </c>
      <c r="G752">
        <v>7.3</v>
      </c>
      <c r="H752">
        <v>35000</v>
      </c>
      <c r="I752" t="s">
        <v>132</v>
      </c>
      <c r="J752">
        <v>5</v>
      </c>
      <c r="K752">
        <v>310</v>
      </c>
    </row>
    <row r="753" spans="1:11" hidden="1" x14ac:dyDescent="0.25">
      <c r="A753" t="s">
        <v>351</v>
      </c>
      <c r="B753" t="s">
        <v>403</v>
      </c>
      <c r="C753" t="s">
        <v>132</v>
      </c>
      <c r="E753">
        <v>204</v>
      </c>
      <c r="F753">
        <v>160</v>
      </c>
      <c r="G753">
        <v>7.3</v>
      </c>
      <c r="H753">
        <v>35000</v>
      </c>
      <c r="I753" t="s">
        <v>132</v>
      </c>
      <c r="J753">
        <v>5</v>
      </c>
      <c r="K753">
        <v>310</v>
      </c>
    </row>
    <row r="754" spans="1:11" hidden="1" x14ac:dyDescent="0.25">
      <c r="A754" t="s">
        <v>1086</v>
      </c>
      <c r="B754" t="s">
        <v>1273</v>
      </c>
      <c r="C754" t="s">
        <v>330</v>
      </c>
      <c r="E754">
        <v>136</v>
      </c>
      <c r="F754">
        <v>150</v>
      </c>
      <c r="G754">
        <v>8.1</v>
      </c>
      <c r="H754">
        <v>35000</v>
      </c>
      <c r="I754" t="s">
        <v>132</v>
      </c>
      <c r="J754">
        <v>5</v>
      </c>
      <c r="K754">
        <v>260</v>
      </c>
    </row>
    <row r="755" spans="1:11" hidden="1" x14ac:dyDescent="0.25">
      <c r="A755" t="s">
        <v>19</v>
      </c>
      <c r="B755" t="s">
        <v>1341</v>
      </c>
      <c r="C755" t="s">
        <v>1342</v>
      </c>
      <c r="E755">
        <v>298</v>
      </c>
      <c r="F755">
        <v>180</v>
      </c>
      <c r="H755">
        <v>35000</v>
      </c>
      <c r="I755" t="s">
        <v>215</v>
      </c>
      <c r="J755">
        <v>5</v>
      </c>
      <c r="K755">
        <v>470</v>
      </c>
    </row>
    <row r="756" spans="1:11" hidden="1" x14ac:dyDescent="0.25">
      <c r="A756" t="s">
        <v>910</v>
      </c>
      <c r="B756" t="s">
        <v>1500</v>
      </c>
      <c r="C756" t="s">
        <v>330</v>
      </c>
      <c r="E756">
        <v>143</v>
      </c>
      <c r="F756">
        <v>140</v>
      </c>
      <c r="G756">
        <v>9.6999999999999993</v>
      </c>
      <c r="H756">
        <v>35000</v>
      </c>
      <c r="I756" t="s">
        <v>132</v>
      </c>
      <c r="J756">
        <v>5</v>
      </c>
      <c r="K756">
        <v>271</v>
      </c>
    </row>
    <row r="757" spans="1:11" hidden="1" x14ac:dyDescent="0.25">
      <c r="A757" t="s">
        <v>52</v>
      </c>
      <c r="B757" t="s">
        <v>648</v>
      </c>
      <c r="C757" t="s">
        <v>616</v>
      </c>
      <c r="D757">
        <v>1998</v>
      </c>
      <c r="F757">
        <v>240</v>
      </c>
      <c r="G757">
        <v>6.8</v>
      </c>
      <c r="H757">
        <v>35000</v>
      </c>
      <c r="I757" t="s">
        <v>18</v>
      </c>
      <c r="J757">
        <v>4</v>
      </c>
      <c r="K757">
        <v>275</v>
      </c>
    </row>
    <row r="758" spans="1:11" hidden="1" x14ac:dyDescent="0.25">
      <c r="A758" t="s">
        <v>52</v>
      </c>
      <c r="B758" t="s">
        <v>667</v>
      </c>
      <c r="C758" t="s">
        <v>616</v>
      </c>
      <c r="D758">
        <v>1998</v>
      </c>
      <c r="F758">
        <v>240</v>
      </c>
      <c r="G758">
        <v>5.6</v>
      </c>
      <c r="H758">
        <v>35000</v>
      </c>
      <c r="I758" t="s">
        <v>18</v>
      </c>
      <c r="J758">
        <v>4</v>
      </c>
      <c r="K758">
        <v>300</v>
      </c>
    </row>
    <row r="759" spans="1:11" hidden="1" x14ac:dyDescent="0.25">
      <c r="A759" t="s">
        <v>351</v>
      </c>
      <c r="B759" t="s">
        <v>366</v>
      </c>
      <c r="C759" t="s">
        <v>355</v>
      </c>
      <c r="D759">
        <v>1984</v>
      </c>
      <c r="E759">
        <v>202</v>
      </c>
      <c r="F759">
        <v>233</v>
      </c>
      <c r="G759">
        <v>6</v>
      </c>
      <c r="H759">
        <v>35000</v>
      </c>
      <c r="I759" t="s">
        <v>18</v>
      </c>
      <c r="J759">
        <v>4</v>
      </c>
      <c r="K759">
        <v>350</v>
      </c>
    </row>
    <row r="760" spans="1:11" hidden="1" x14ac:dyDescent="0.25">
      <c r="A760" t="s">
        <v>351</v>
      </c>
      <c r="B760" t="s">
        <v>480</v>
      </c>
      <c r="C760" t="s">
        <v>437</v>
      </c>
      <c r="D760">
        <v>1984</v>
      </c>
      <c r="E760">
        <v>220</v>
      </c>
      <c r="F760">
        <v>246</v>
      </c>
      <c r="G760">
        <v>6.5</v>
      </c>
      <c r="H760">
        <v>35000</v>
      </c>
      <c r="I760" t="s">
        <v>18</v>
      </c>
      <c r="J760">
        <v>4</v>
      </c>
      <c r="K760">
        <v>350</v>
      </c>
    </row>
    <row r="761" spans="1:11" hidden="1" x14ac:dyDescent="0.25">
      <c r="A761" t="s">
        <v>351</v>
      </c>
      <c r="B761" t="s">
        <v>462</v>
      </c>
      <c r="C761" t="s">
        <v>454</v>
      </c>
      <c r="D761">
        <v>1781</v>
      </c>
      <c r="E761">
        <v>137</v>
      </c>
      <c r="F761">
        <v>220</v>
      </c>
      <c r="G761">
        <v>7.1</v>
      </c>
      <c r="H761">
        <v>35000</v>
      </c>
      <c r="I761" t="s">
        <v>18</v>
      </c>
      <c r="J761">
        <v>4</v>
      </c>
      <c r="K761">
        <v>230</v>
      </c>
    </row>
    <row r="762" spans="1:11" hidden="1" x14ac:dyDescent="0.25">
      <c r="A762" t="s">
        <v>351</v>
      </c>
      <c r="B762" t="s">
        <v>434</v>
      </c>
      <c r="C762" t="s">
        <v>435</v>
      </c>
      <c r="E762">
        <v>132</v>
      </c>
      <c r="F762">
        <v>205</v>
      </c>
      <c r="G762">
        <v>9.6</v>
      </c>
      <c r="H762">
        <v>35000</v>
      </c>
      <c r="I762" t="s">
        <v>18</v>
      </c>
      <c r="J762">
        <v>4</v>
      </c>
      <c r="K762">
        <v>250</v>
      </c>
    </row>
    <row r="763" spans="1:11" hidden="1" x14ac:dyDescent="0.25">
      <c r="A763" t="s">
        <v>52</v>
      </c>
      <c r="B763" t="s">
        <v>640</v>
      </c>
      <c r="C763" t="s">
        <v>641</v>
      </c>
      <c r="D763">
        <v>2999</v>
      </c>
      <c r="F763">
        <v>130</v>
      </c>
      <c r="G763">
        <v>18</v>
      </c>
      <c r="H763">
        <v>35000</v>
      </c>
      <c r="I763" t="s">
        <v>50</v>
      </c>
      <c r="J763">
        <v>3</v>
      </c>
      <c r="K763">
        <v>300</v>
      </c>
    </row>
    <row r="764" spans="1:11" hidden="1" x14ac:dyDescent="0.25">
      <c r="A764" t="s">
        <v>52</v>
      </c>
      <c r="B764" t="s">
        <v>700</v>
      </c>
      <c r="C764" t="s">
        <v>641</v>
      </c>
      <c r="D764">
        <v>2953</v>
      </c>
      <c r="F764">
        <v>140</v>
      </c>
      <c r="G764">
        <v>15</v>
      </c>
      <c r="H764">
        <v>35000</v>
      </c>
      <c r="I764" t="s">
        <v>50</v>
      </c>
      <c r="J764">
        <v>3</v>
      </c>
      <c r="K764">
        <v>350</v>
      </c>
    </row>
    <row r="765" spans="1:11" hidden="1" x14ac:dyDescent="0.25">
      <c r="A765" t="s">
        <v>1086</v>
      </c>
      <c r="B765" t="s">
        <v>1290</v>
      </c>
      <c r="C765" t="s">
        <v>1240</v>
      </c>
      <c r="D765">
        <v>2200</v>
      </c>
      <c r="E765">
        <v>130</v>
      </c>
      <c r="F765">
        <v>140</v>
      </c>
      <c r="G765">
        <v>14</v>
      </c>
      <c r="H765">
        <v>35000</v>
      </c>
      <c r="I765" t="s">
        <v>50</v>
      </c>
      <c r="J765">
        <v>3</v>
      </c>
      <c r="K765">
        <v>350</v>
      </c>
    </row>
    <row r="766" spans="1:11" hidden="1" x14ac:dyDescent="0.25">
      <c r="A766" t="s">
        <v>52</v>
      </c>
      <c r="B766" t="s">
        <v>694</v>
      </c>
      <c r="C766" t="s">
        <v>695</v>
      </c>
      <c r="D766">
        <v>2753</v>
      </c>
      <c r="F766">
        <v>205</v>
      </c>
      <c r="G766">
        <v>9.5</v>
      </c>
      <c r="H766">
        <v>35000</v>
      </c>
      <c r="I766" t="s">
        <v>18</v>
      </c>
      <c r="J766">
        <v>2</v>
      </c>
      <c r="K766">
        <v>210</v>
      </c>
    </row>
    <row r="767" spans="1:11" hidden="1" x14ac:dyDescent="0.25">
      <c r="A767" t="s">
        <v>939</v>
      </c>
      <c r="B767" t="s">
        <v>995</v>
      </c>
      <c r="C767" t="s">
        <v>989</v>
      </c>
      <c r="D767">
        <v>4300</v>
      </c>
      <c r="E767">
        <v>285</v>
      </c>
      <c r="F767">
        <v>180</v>
      </c>
      <c r="G767">
        <v>8.6</v>
      </c>
      <c r="H767">
        <v>34900</v>
      </c>
      <c r="I767" t="s">
        <v>18</v>
      </c>
      <c r="J767">
        <v>6</v>
      </c>
      <c r="K767">
        <v>413</v>
      </c>
    </row>
    <row r="768" spans="1:11" hidden="1" x14ac:dyDescent="0.25">
      <c r="A768" t="s">
        <v>218</v>
      </c>
      <c r="B768" t="s">
        <v>1127</v>
      </c>
      <c r="C768" t="s">
        <v>1096</v>
      </c>
      <c r="D768">
        <v>1591</v>
      </c>
      <c r="E768">
        <v>139</v>
      </c>
      <c r="F768">
        <v>180</v>
      </c>
      <c r="G768">
        <v>10.5</v>
      </c>
      <c r="H768">
        <v>34500</v>
      </c>
      <c r="I768" t="s">
        <v>65</v>
      </c>
      <c r="J768">
        <v>5</v>
      </c>
      <c r="K768">
        <v>265</v>
      </c>
    </row>
    <row r="769" spans="1:11" hidden="1" x14ac:dyDescent="0.25">
      <c r="A769" t="s">
        <v>787</v>
      </c>
      <c r="B769" t="s">
        <v>788</v>
      </c>
      <c r="C769" t="s">
        <v>789</v>
      </c>
      <c r="D769">
        <v>2000</v>
      </c>
      <c r="E769">
        <v>237</v>
      </c>
      <c r="F769">
        <v>250</v>
      </c>
      <c r="G769">
        <v>6</v>
      </c>
      <c r="H769">
        <v>34395</v>
      </c>
      <c r="I769" t="s">
        <v>18</v>
      </c>
      <c r="J769">
        <v>5</v>
      </c>
      <c r="K769">
        <v>350</v>
      </c>
    </row>
    <row r="770" spans="1:11" x14ac:dyDescent="0.25">
      <c r="A770" t="s">
        <v>27</v>
      </c>
      <c r="B770" t="s">
        <v>194</v>
      </c>
      <c r="C770" t="s">
        <v>45</v>
      </c>
      <c r="D770">
        <v>1995</v>
      </c>
      <c r="E770">
        <v>150</v>
      </c>
      <c r="F770">
        <v>216</v>
      </c>
      <c r="G770">
        <v>8.4</v>
      </c>
      <c r="H770">
        <v>34000</v>
      </c>
      <c r="I770" t="s">
        <v>50</v>
      </c>
      <c r="J770">
        <v>5</v>
      </c>
      <c r="K770">
        <v>380</v>
      </c>
    </row>
    <row r="771" spans="1:11" x14ac:dyDescent="0.25">
      <c r="A771" t="s">
        <v>27</v>
      </c>
      <c r="B771" t="s">
        <v>200</v>
      </c>
      <c r="C771" t="s">
        <v>188</v>
      </c>
      <c r="D771">
        <v>1499</v>
      </c>
      <c r="E771">
        <v>136</v>
      </c>
      <c r="F771">
        <v>211</v>
      </c>
      <c r="G771">
        <v>8.9</v>
      </c>
      <c r="H771">
        <v>34000</v>
      </c>
      <c r="I771" t="s">
        <v>18</v>
      </c>
      <c r="J771">
        <v>5</v>
      </c>
      <c r="K771">
        <v>250</v>
      </c>
    </row>
    <row r="772" spans="1:11" hidden="1" x14ac:dyDescent="0.25">
      <c r="A772" t="s">
        <v>939</v>
      </c>
      <c r="B772" t="s">
        <v>988</v>
      </c>
      <c r="C772" t="s">
        <v>989</v>
      </c>
      <c r="D772">
        <v>4300</v>
      </c>
      <c r="E772">
        <v>285</v>
      </c>
      <c r="F772">
        <v>180</v>
      </c>
      <c r="G772">
        <v>8.5</v>
      </c>
      <c r="H772">
        <v>33900</v>
      </c>
      <c r="I772" t="s">
        <v>18</v>
      </c>
      <c r="J772">
        <v>6</v>
      </c>
      <c r="K772">
        <v>413</v>
      </c>
    </row>
    <row r="773" spans="1:11" hidden="1" x14ac:dyDescent="0.25">
      <c r="A773" t="s">
        <v>1398</v>
      </c>
      <c r="B773" t="s">
        <v>1425</v>
      </c>
      <c r="C773" t="s">
        <v>1112</v>
      </c>
      <c r="D773">
        <v>2500</v>
      </c>
      <c r="E773">
        <v>181</v>
      </c>
      <c r="F773">
        <v>190</v>
      </c>
      <c r="G773">
        <v>9.5</v>
      </c>
      <c r="H773">
        <v>33500</v>
      </c>
      <c r="I773" t="s">
        <v>18</v>
      </c>
      <c r="J773">
        <v>7</v>
      </c>
      <c r="K773">
        <v>245</v>
      </c>
    </row>
    <row r="774" spans="1:11" hidden="1" x14ac:dyDescent="0.25">
      <c r="A774" t="s">
        <v>939</v>
      </c>
      <c r="B774" t="s">
        <v>964</v>
      </c>
      <c r="C774" t="s">
        <v>789</v>
      </c>
      <c r="D774">
        <v>2000</v>
      </c>
      <c r="E774">
        <v>250</v>
      </c>
      <c r="F774">
        <v>240</v>
      </c>
      <c r="G774">
        <v>5.8</v>
      </c>
      <c r="H774">
        <v>33500</v>
      </c>
      <c r="I774" t="s">
        <v>18</v>
      </c>
      <c r="J774">
        <v>5</v>
      </c>
      <c r="K774">
        <v>353</v>
      </c>
    </row>
    <row r="775" spans="1:11" hidden="1" x14ac:dyDescent="0.25">
      <c r="A775" t="s">
        <v>43</v>
      </c>
      <c r="B775" t="s">
        <v>256</v>
      </c>
      <c r="C775" t="s">
        <v>45</v>
      </c>
      <c r="D775">
        <v>2494</v>
      </c>
      <c r="E775">
        <v>219</v>
      </c>
      <c r="F775">
        <v>200</v>
      </c>
      <c r="G775">
        <v>7.5</v>
      </c>
      <c r="H775">
        <v>33400</v>
      </c>
      <c r="I775" t="s">
        <v>65</v>
      </c>
      <c r="J775">
        <v>5</v>
      </c>
      <c r="K775">
        <v>400</v>
      </c>
    </row>
    <row r="776" spans="1:11" hidden="1" x14ac:dyDescent="0.25">
      <c r="A776" t="s">
        <v>939</v>
      </c>
      <c r="B776" t="s">
        <v>973</v>
      </c>
      <c r="C776" t="s">
        <v>945</v>
      </c>
      <c r="D776">
        <v>1500</v>
      </c>
      <c r="E776">
        <v>170</v>
      </c>
      <c r="F776">
        <v>200</v>
      </c>
      <c r="G776">
        <v>8.8000000000000007</v>
      </c>
      <c r="H776">
        <v>33400</v>
      </c>
      <c r="I776" t="s">
        <v>18</v>
      </c>
      <c r="J776">
        <v>5</v>
      </c>
      <c r="K776">
        <v>275</v>
      </c>
    </row>
    <row r="777" spans="1:11" hidden="1" x14ac:dyDescent="0.25">
      <c r="A777" t="s">
        <v>52</v>
      </c>
      <c r="B777" t="s">
        <v>373</v>
      </c>
      <c r="C777" t="s">
        <v>374</v>
      </c>
      <c r="D777">
        <v>3954</v>
      </c>
      <c r="E777">
        <v>261</v>
      </c>
      <c r="F777">
        <v>160</v>
      </c>
      <c r="G777">
        <v>9.5</v>
      </c>
      <c r="H777">
        <v>33000</v>
      </c>
      <c r="I777" t="s">
        <v>18</v>
      </c>
      <c r="J777">
        <v>12</v>
      </c>
      <c r="K777">
        <v>385</v>
      </c>
    </row>
    <row r="778" spans="1:11" hidden="1" x14ac:dyDescent="0.25">
      <c r="A778" t="s">
        <v>351</v>
      </c>
      <c r="B778" t="s">
        <v>371</v>
      </c>
      <c r="C778" t="s">
        <v>355</v>
      </c>
      <c r="D778">
        <v>1984</v>
      </c>
      <c r="E778">
        <v>185</v>
      </c>
      <c r="F778">
        <v>200</v>
      </c>
      <c r="G778">
        <v>9.3000000000000007</v>
      </c>
      <c r="H778">
        <v>33000</v>
      </c>
      <c r="I778" t="s">
        <v>215</v>
      </c>
      <c r="J778">
        <v>7</v>
      </c>
      <c r="K778">
        <v>280</v>
      </c>
    </row>
    <row r="779" spans="1:11" hidden="1" x14ac:dyDescent="0.25">
      <c r="A779" t="s">
        <v>1086</v>
      </c>
      <c r="B779" t="s">
        <v>1280</v>
      </c>
      <c r="C779" t="s">
        <v>1240</v>
      </c>
      <c r="D779">
        <v>1499</v>
      </c>
      <c r="E779">
        <v>180</v>
      </c>
      <c r="F779">
        <v>200</v>
      </c>
      <c r="G779">
        <v>8.5</v>
      </c>
      <c r="H779">
        <v>33000</v>
      </c>
      <c r="I779" t="s">
        <v>18</v>
      </c>
      <c r="J779">
        <v>7</v>
      </c>
      <c r="K779">
        <v>250</v>
      </c>
    </row>
    <row r="780" spans="1:11" hidden="1" x14ac:dyDescent="0.25">
      <c r="A780" t="s">
        <v>1086</v>
      </c>
      <c r="B780" t="s">
        <v>1299</v>
      </c>
      <c r="C780" t="s">
        <v>1240</v>
      </c>
      <c r="D780">
        <v>1499</v>
      </c>
      <c r="E780">
        <v>130</v>
      </c>
      <c r="F780">
        <v>190</v>
      </c>
      <c r="G780">
        <v>10.5</v>
      </c>
      <c r="H780">
        <v>33000</v>
      </c>
      <c r="I780" t="s">
        <v>18</v>
      </c>
      <c r="J780">
        <v>7</v>
      </c>
      <c r="K780">
        <v>240</v>
      </c>
    </row>
    <row r="781" spans="1:11" hidden="1" x14ac:dyDescent="0.25">
      <c r="A781" t="s">
        <v>19</v>
      </c>
      <c r="B781" t="s">
        <v>1345</v>
      </c>
      <c r="C781" t="s">
        <v>1346</v>
      </c>
      <c r="D781">
        <v>2500</v>
      </c>
      <c r="E781">
        <v>200</v>
      </c>
      <c r="F781">
        <v>180</v>
      </c>
      <c r="G781">
        <v>7.7</v>
      </c>
      <c r="H781">
        <v>33000</v>
      </c>
      <c r="I781" t="s">
        <v>65</v>
      </c>
      <c r="J781">
        <v>5</v>
      </c>
    </row>
    <row r="782" spans="1:11" hidden="1" x14ac:dyDescent="0.25">
      <c r="A782" t="s">
        <v>218</v>
      </c>
      <c r="B782" t="s">
        <v>223</v>
      </c>
      <c r="C782" t="s">
        <v>45</v>
      </c>
      <c r="D782">
        <v>2480</v>
      </c>
      <c r="E782">
        <v>187</v>
      </c>
      <c r="F782">
        <v>200</v>
      </c>
      <c r="G782">
        <v>8</v>
      </c>
      <c r="H782">
        <v>33000</v>
      </c>
      <c r="I782" t="s">
        <v>18</v>
      </c>
      <c r="J782">
        <v>5</v>
      </c>
      <c r="K782">
        <v>350</v>
      </c>
    </row>
    <row r="783" spans="1:11" hidden="1" x14ac:dyDescent="0.25">
      <c r="A783" t="s">
        <v>218</v>
      </c>
      <c r="B783" t="s">
        <v>1095</v>
      </c>
      <c r="C783" t="s">
        <v>1096</v>
      </c>
      <c r="D783">
        <v>1591</v>
      </c>
      <c r="E783">
        <v>139</v>
      </c>
      <c r="F783">
        <v>180</v>
      </c>
      <c r="G783">
        <v>10.5</v>
      </c>
      <c r="H783">
        <v>33000</v>
      </c>
      <c r="I783" t="s">
        <v>65</v>
      </c>
      <c r="J783">
        <v>5</v>
      </c>
      <c r="K783">
        <v>265</v>
      </c>
    </row>
    <row r="784" spans="1:11" hidden="1" x14ac:dyDescent="0.25">
      <c r="A784" t="s">
        <v>218</v>
      </c>
      <c r="B784" t="s">
        <v>1107</v>
      </c>
      <c r="C784" t="s">
        <v>1096</v>
      </c>
      <c r="D784">
        <v>1591</v>
      </c>
      <c r="E784">
        <v>139</v>
      </c>
      <c r="F784">
        <v>180</v>
      </c>
      <c r="G784">
        <v>10.5</v>
      </c>
      <c r="H784">
        <v>33000</v>
      </c>
      <c r="I784" t="s">
        <v>65</v>
      </c>
      <c r="J784">
        <v>5</v>
      </c>
      <c r="K784">
        <v>265</v>
      </c>
    </row>
    <row r="785" spans="1:11" hidden="1" x14ac:dyDescent="0.25">
      <c r="A785" t="s">
        <v>351</v>
      </c>
      <c r="B785" t="s">
        <v>425</v>
      </c>
      <c r="C785" t="s">
        <v>132</v>
      </c>
      <c r="E785">
        <v>136</v>
      </c>
      <c r="F785">
        <v>140</v>
      </c>
      <c r="G785">
        <v>10.4</v>
      </c>
      <c r="H785">
        <v>33000</v>
      </c>
      <c r="I785" t="s">
        <v>132</v>
      </c>
      <c r="J785">
        <v>5</v>
      </c>
      <c r="K785">
        <v>290</v>
      </c>
    </row>
    <row r="786" spans="1:11" hidden="1" x14ac:dyDescent="0.25">
      <c r="A786" t="s">
        <v>1398</v>
      </c>
      <c r="B786" t="s">
        <v>1426</v>
      </c>
      <c r="C786" t="s">
        <v>1112</v>
      </c>
      <c r="D786">
        <v>2500</v>
      </c>
      <c r="E786">
        <v>181</v>
      </c>
      <c r="F786">
        <v>190</v>
      </c>
      <c r="G786">
        <v>9.5</v>
      </c>
      <c r="H786">
        <v>32500</v>
      </c>
      <c r="I786" t="s">
        <v>18</v>
      </c>
      <c r="J786">
        <v>7</v>
      </c>
      <c r="K786">
        <v>245</v>
      </c>
    </row>
    <row r="787" spans="1:11" hidden="1" x14ac:dyDescent="0.25">
      <c r="A787" t="s">
        <v>1398</v>
      </c>
      <c r="B787" t="s">
        <v>1454</v>
      </c>
      <c r="C787" t="s">
        <v>1112</v>
      </c>
      <c r="D787">
        <v>2500</v>
      </c>
      <c r="E787">
        <v>181</v>
      </c>
      <c r="F787">
        <v>190</v>
      </c>
      <c r="G787">
        <v>9.5</v>
      </c>
      <c r="H787">
        <v>32500</v>
      </c>
      <c r="I787" t="s">
        <v>18</v>
      </c>
      <c r="J787">
        <v>7</v>
      </c>
      <c r="K787">
        <v>245</v>
      </c>
    </row>
    <row r="788" spans="1:11" hidden="1" x14ac:dyDescent="0.25">
      <c r="A788" t="s">
        <v>1398</v>
      </c>
      <c r="B788" t="s">
        <v>1467</v>
      </c>
      <c r="C788" t="s">
        <v>1468</v>
      </c>
      <c r="D788">
        <v>2400</v>
      </c>
      <c r="E788">
        <v>145</v>
      </c>
      <c r="F788">
        <v>170</v>
      </c>
      <c r="G788">
        <v>13</v>
      </c>
      <c r="H788">
        <v>32500</v>
      </c>
      <c r="I788" t="s">
        <v>18</v>
      </c>
      <c r="J788">
        <v>7</v>
      </c>
      <c r="K788">
        <v>206</v>
      </c>
    </row>
    <row r="789" spans="1:11" hidden="1" x14ac:dyDescent="0.25">
      <c r="A789" t="s">
        <v>1398</v>
      </c>
      <c r="B789" t="s">
        <v>1439</v>
      </c>
      <c r="C789" t="s">
        <v>1440</v>
      </c>
      <c r="E789">
        <v>145</v>
      </c>
      <c r="F789">
        <v>175</v>
      </c>
      <c r="G789">
        <v>11.5</v>
      </c>
      <c r="H789">
        <v>32500</v>
      </c>
      <c r="I789" t="s">
        <v>50</v>
      </c>
      <c r="J789">
        <v>7</v>
      </c>
      <c r="K789">
        <v>360</v>
      </c>
    </row>
    <row r="790" spans="1:11" hidden="1" x14ac:dyDescent="0.25">
      <c r="A790" t="s">
        <v>910</v>
      </c>
      <c r="B790" t="s">
        <v>1557</v>
      </c>
      <c r="C790" t="s">
        <v>588</v>
      </c>
      <c r="D790">
        <v>3000</v>
      </c>
      <c r="E790">
        <v>200</v>
      </c>
      <c r="F790">
        <v>220</v>
      </c>
      <c r="G790">
        <v>7.5</v>
      </c>
      <c r="H790">
        <v>32500</v>
      </c>
      <c r="I790" t="s">
        <v>18</v>
      </c>
      <c r="J790">
        <v>5</v>
      </c>
      <c r="K790">
        <v>260</v>
      </c>
    </row>
    <row r="791" spans="1:11" hidden="1" x14ac:dyDescent="0.25">
      <c r="A791" t="s">
        <v>910</v>
      </c>
      <c r="B791" t="s">
        <v>1492</v>
      </c>
      <c r="C791" t="s">
        <v>1488</v>
      </c>
      <c r="D791">
        <v>2500</v>
      </c>
      <c r="E791">
        <v>256</v>
      </c>
      <c r="F791">
        <v>220</v>
      </c>
      <c r="G791">
        <v>6.9</v>
      </c>
      <c r="H791">
        <v>32500</v>
      </c>
      <c r="I791" t="s">
        <v>18</v>
      </c>
      <c r="J791">
        <v>5</v>
      </c>
      <c r="K791">
        <v>434</v>
      </c>
    </row>
    <row r="792" spans="1:11" hidden="1" x14ac:dyDescent="0.25">
      <c r="A792" t="s">
        <v>910</v>
      </c>
      <c r="B792" t="s">
        <v>1596</v>
      </c>
      <c r="C792" t="s">
        <v>567</v>
      </c>
      <c r="D792">
        <v>2500</v>
      </c>
      <c r="E792">
        <v>200</v>
      </c>
      <c r="F792">
        <v>220</v>
      </c>
      <c r="G792">
        <v>8</v>
      </c>
      <c r="H792">
        <v>32500</v>
      </c>
      <c r="I792" t="s">
        <v>18</v>
      </c>
      <c r="J792">
        <v>5</v>
      </c>
      <c r="K792">
        <v>250</v>
      </c>
    </row>
    <row r="793" spans="1:11" hidden="1" x14ac:dyDescent="0.25">
      <c r="A793" t="s">
        <v>218</v>
      </c>
      <c r="B793" t="s">
        <v>231</v>
      </c>
      <c r="C793" t="s">
        <v>45</v>
      </c>
      <c r="D793">
        <v>2480</v>
      </c>
      <c r="E793">
        <v>187</v>
      </c>
      <c r="F793">
        <v>200</v>
      </c>
      <c r="G793">
        <v>8</v>
      </c>
      <c r="H793">
        <v>32500</v>
      </c>
      <c r="I793" t="s">
        <v>18</v>
      </c>
      <c r="J793">
        <v>5</v>
      </c>
      <c r="K793">
        <v>350</v>
      </c>
    </row>
    <row r="794" spans="1:11" hidden="1" x14ac:dyDescent="0.25">
      <c r="A794" t="s">
        <v>1398</v>
      </c>
      <c r="B794" t="s">
        <v>1432</v>
      </c>
      <c r="C794" t="s">
        <v>1412</v>
      </c>
      <c r="D794">
        <v>2400</v>
      </c>
      <c r="E794">
        <v>181</v>
      </c>
      <c r="F794">
        <v>177</v>
      </c>
      <c r="G794">
        <v>10.5</v>
      </c>
      <c r="H794">
        <v>32500</v>
      </c>
      <c r="I794" t="s">
        <v>50</v>
      </c>
      <c r="J794">
        <v>5</v>
      </c>
      <c r="K794">
        <v>430</v>
      </c>
    </row>
    <row r="795" spans="1:11" hidden="1" x14ac:dyDescent="0.25">
      <c r="A795" t="s">
        <v>19</v>
      </c>
      <c r="B795" t="s">
        <v>1311</v>
      </c>
      <c r="C795" t="s">
        <v>1312</v>
      </c>
      <c r="E795">
        <v>205</v>
      </c>
      <c r="F795">
        <v>220</v>
      </c>
      <c r="G795">
        <v>7.5</v>
      </c>
      <c r="H795">
        <v>32500</v>
      </c>
      <c r="I795" t="s">
        <v>241</v>
      </c>
      <c r="J795">
        <v>5</v>
      </c>
      <c r="K795">
        <v>300</v>
      </c>
    </row>
    <row r="796" spans="1:11" hidden="1" x14ac:dyDescent="0.25">
      <c r="A796" t="s">
        <v>910</v>
      </c>
      <c r="B796" t="s">
        <v>1575</v>
      </c>
      <c r="C796" t="s">
        <v>567</v>
      </c>
      <c r="D796">
        <v>2500</v>
      </c>
      <c r="E796">
        <v>160</v>
      </c>
      <c r="F796">
        <v>210</v>
      </c>
      <c r="G796">
        <v>8</v>
      </c>
      <c r="H796">
        <v>32500</v>
      </c>
      <c r="I796" t="s">
        <v>18</v>
      </c>
      <c r="J796">
        <v>4</v>
      </c>
      <c r="K796">
        <v>220</v>
      </c>
    </row>
    <row r="797" spans="1:11" hidden="1" x14ac:dyDescent="0.25">
      <c r="A797" t="s">
        <v>910</v>
      </c>
      <c r="B797" t="s">
        <v>1590</v>
      </c>
      <c r="C797" t="s">
        <v>523</v>
      </c>
      <c r="D797">
        <v>1798</v>
      </c>
      <c r="E797">
        <v>143</v>
      </c>
      <c r="F797">
        <v>200</v>
      </c>
      <c r="G797">
        <v>7.5</v>
      </c>
      <c r="H797">
        <v>32500</v>
      </c>
      <c r="I797" t="s">
        <v>18</v>
      </c>
      <c r="J797">
        <v>2</v>
      </c>
      <c r="K797">
        <v>160</v>
      </c>
    </row>
    <row r="798" spans="1:11" hidden="1" x14ac:dyDescent="0.25">
      <c r="A798" t="s">
        <v>910</v>
      </c>
      <c r="B798" t="s">
        <v>1567</v>
      </c>
      <c r="C798" t="s">
        <v>1568</v>
      </c>
      <c r="D798">
        <v>1000</v>
      </c>
      <c r="E798">
        <v>110</v>
      </c>
      <c r="F798">
        <v>170</v>
      </c>
      <c r="G798">
        <v>10</v>
      </c>
      <c r="H798">
        <v>32500</v>
      </c>
      <c r="I798" t="s">
        <v>18</v>
      </c>
      <c r="J798">
        <v>2</v>
      </c>
      <c r="K798">
        <v>150</v>
      </c>
    </row>
    <row r="799" spans="1:11" hidden="1" x14ac:dyDescent="0.25">
      <c r="A799" t="s">
        <v>351</v>
      </c>
      <c r="B799" t="s">
        <v>428</v>
      </c>
      <c r="C799" t="s">
        <v>429</v>
      </c>
      <c r="E799">
        <v>256</v>
      </c>
      <c r="F799">
        <v>190</v>
      </c>
      <c r="G799">
        <v>8.6</v>
      </c>
      <c r="H799">
        <v>32000</v>
      </c>
      <c r="I799" t="s">
        <v>18</v>
      </c>
      <c r="J799">
        <v>7</v>
      </c>
      <c r="K799">
        <v>350</v>
      </c>
    </row>
    <row r="800" spans="1:11" hidden="1" x14ac:dyDescent="0.25">
      <c r="A800" t="s">
        <v>52</v>
      </c>
      <c r="B800" t="s">
        <v>587</v>
      </c>
      <c r="C800" t="s">
        <v>588</v>
      </c>
      <c r="D800">
        <v>2960</v>
      </c>
      <c r="F800">
        <v>200</v>
      </c>
      <c r="G800">
        <v>8.4</v>
      </c>
      <c r="H800">
        <v>32000</v>
      </c>
      <c r="I800" t="s">
        <v>18</v>
      </c>
      <c r="J800">
        <v>5</v>
      </c>
      <c r="K800">
        <v>265</v>
      </c>
    </row>
    <row r="801" spans="1:11" hidden="1" x14ac:dyDescent="0.25">
      <c r="A801" t="s">
        <v>218</v>
      </c>
      <c r="B801" t="s">
        <v>221</v>
      </c>
      <c r="C801" t="s">
        <v>45</v>
      </c>
      <c r="D801">
        <v>2480</v>
      </c>
      <c r="E801">
        <v>187</v>
      </c>
      <c r="F801">
        <v>200</v>
      </c>
      <c r="G801">
        <v>8</v>
      </c>
      <c r="H801">
        <v>32000</v>
      </c>
      <c r="I801" t="s">
        <v>18</v>
      </c>
      <c r="J801">
        <v>5</v>
      </c>
      <c r="K801">
        <v>350</v>
      </c>
    </row>
    <row r="802" spans="1:11" hidden="1" x14ac:dyDescent="0.25">
      <c r="A802" t="s">
        <v>52</v>
      </c>
      <c r="B802" t="s">
        <v>606</v>
      </c>
      <c r="C802" t="s">
        <v>607</v>
      </c>
      <c r="D802">
        <v>2298</v>
      </c>
      <c r="F802">
        <v>180</v>
      </c>
      <c r="G802">
        <v>10.199999999999999</v>
      </c>
      <c r="H802">
        <v>32000</v>
      </c>
      <c r="I802" t="s">
        <v>50</v>
      </c>
      <c r="J802">
        <v>5</v>
      </c>
      <c r="K802">
        <v>450</v>
      </c>
    </row>
    <row r="803" spans="1:11" hidden="1" x14ac:dyDescent="0.25">
      <c r="A803" t="s">
        <v>52</v>
      </c>
      <c r="B803" t="s">
        <v>652</v>
      </c>
      <c r="C803" t="s">
        <v>326</v>
      </c>
      <c r="D803">
        <v>1998</v>
      </c>
      <c r="F803">
        <v>190</v>
      </c>
      <c r="G803">
        <v>9</v>
      </c>
      <c r="H803">
        <v>32000</v>
      </c>
      <c r="I803" t="s">
        <v>18</v>
      </c>
      <c r="J803">
        <v>5</v>
      </c>
      <c r="K803">
        <v>195</v>
      </c>
    </row>
    <row r="804" spans="1:11" hidden="1" x14ac:dyDescent="0.25">
      <c r="A804" t="s">
        <v>1086</v>
      </c>
      <c r="B804" t="s">
        <v>1266</v>
      </c>
      <c r="C804" t="s">
        <v>1240</v>
      </c>
      <c r="D804">
        <v>1598</v>
      </c>
      <c r="E804">
        <v>180</v>
      </c>
      <c r="F804">
        <v>210</v>
      </c>
      <c r="G804">
        <v>7.5</v>
      </c>
      <c r="H804">
        <v>32000</v>
      </c>
      <c r="I804" t="s">
        <v>18</v>
      </c>
      <c r="J804">
        <v>5</v>
      </c>
      <c r="K804">
        <v>400</v>
      </c>
    </row>
    <row r="805" spans="1:11" hidden="1" x14ac:dyDescent="0.25">
      <c r="A805" t="s">
        <v>218</v>
      </c>
      <c r="B805" t="s">
        <v>1129</v>
      </c>
      <c r="C805" t="s">
        <v>1085</v>
      </c>
      <c r="D805">
        <v>1591</v>
      </c>
      <c r="E805">
        <v>175</v>
      </c>
      <c r="F805">
        <v>210</v>
      </c>
      <c r="G805">
        <v>7.5</v>
      </c>
      <c r="H805">
        <v>32000</v>
      </c>
      <c r="I805" t="s">
        <v>18</v>
      </c>
      <c r="J805">
        <v>5</v>
      </c>
      <c r="K805">
        <v>264</v>
      </c>
    </row>
    <row r="806" spans="1:11" hidden="1" x14ac:dyDescent="0.25">
      <c r="A806" t="s">
        <v>19</v>
      </c>
      <c r="B806" t="s">
        <v>1361</v>
      </c>
      <c r="C806" t="s">
        <v>1362</v>
      </c>
      <c r="D806">
        <v>1500</v>
      </c>
      <c r="E806">
        <v>140</v>
      </c>
      <c r="F806">
        <v>180</v>
      </c>
      <c r="G806">
        <v>11</v>
      </c>
      <c r="H806">
        <v>32000</v>
      </c>
      <c r="I806" t="s">
        <v>18</v>
      </c>
      <c r="J806">
        <v>5</v>
      </c>
      <c r="K806">
        <v>225</v>
      </c>
    </row>
    <row r="807" spans="1:11" x14ac:dyDescent="0.25">
      <c r="A807" t="s">
        <v>27</v>
      </c>
      <c r="B807" t="s">
        <v>187</v>
      </c>
      <c r="C807" t="s">
        <v>188</v>
      </c>
      <c r="D807">
        <v>1499</v>
      </c>
      <c r="E807">
        <v>136</v>
      </c>
      <c r="F807">
        <v>213</v>
      </c>
      <c r="G807">
        <v>8.5</v>
      </c>
      <c r="H807">
        <v>32000</v>
      </c>
      <c r="I807" t="s">
        <v>18</v>
      </c>
      <c r="J807">
        <v>5</v>
      </c>
      <c r="K807">
        <v>220</v>
      </c>
    </row>
    <row r="808" spans="1:11" hidden="1" x14ac:dyDescent="0.25">
      <c r="A808" t="s">
        <v>1086</v>
      </c>
      <c r="B808" t="s">
        <v>1300</v>
      </c>
      <c r="C808" t="s">
        <v>1240</v>
      </c>
      <c r="D808">
        <v>1499</v>
      </c>
      <c r="E808">
        <v>130</v>
      </c>
      <c r="F808">
        <v>200</v>
      </c>
      <c r="G808">
        <v>9.8000000000000007</v>
      </c>
      <c r="H808">
        <v>32000</v>
      </c>
      <c r="I808" t="s">
        <v>18</v>
      </c>
      <c r="J808">
        <v>5</v>
      </c>
      <c r="K808">
        <v>240</v>
      </c>
    </row>
    <row r="809" spans="1:11" hidden="1" x14ac:dyDescent="0.25">
      <c r="A809" t="s">
        <v>351</v>
      </c>
      <c r="B809" t="s">
        <v>484</v>
      </c>
      <c r="C809" t="s">
        <v>469</v>
      </c>
      <c r="D809">
        <v>1395</v>
      </c>
      <c r="E809">
        <v>215</v>
      </c>
      <c r="F809">
        <v>210</v>
      </c>
      <c r="G809">
        <v>7.4</v>
      </c>
      <c r="H809">
        <v>32000</v>
      </c>
      <c r="I809" t="s">
        <v>65</v>
      </c>
      <c r="J809">
        <v>5</v>
      </c>
      <c r="K809">
        <v>330</v>
      </c>
    </row>
    <row r="810" spans="1:11" hidden="1" x14ac:dyDescent="0.25">
      <c r="A810" t="s">
        <v>351</v>
      </c>
      <c r="B810" t="s">
        <v>404</v>
      </c>
      <c r="C810" t="s">
        <v>405</v>
      </c>
      <c r="E810">
        <v>140</v>
      </c>
      <c r="F810">
        <v>220</v>
      </c>
      <c r="G810">
        <v>7.5</v>
      </c>
      <c r="H810">
        <v>32000</v>
      </c>
      <c r="I810" t="s">
        <v>18</v>
      </c>
      <c r="J810">
        <v>5</v>
      </c>
      <c r="K810">
        <v>320</v>
      </c>
    </row>
    <row r="811" spans="1:11" hidden="1" x14ac:dyDescent="0.25">
      <c r="A811" t="s">
        <v>19</v>
      </c>
      <c r="B811" t="s">
        <v>1331</v>
      </c>
      <c r="C811" t="s">
        <v>1332</v>
      </c>
      <c r="E811">
        <v>216</v>
      </c>
      <c r="F811">
        <v>185</v>
      </c>
      <c r="G811">
        <v>7</v>
      </c>
      <c r="H811">
        <v>32000</v>
      </c>
      <c r="I811" t="s">
        <v>18</v>
      </c>
      <c r="J811">
        <v>5</v>
      </c>
      <c r="K811">
        <v>312</v>
      </c>
    </row>
    <row r="812" spans="1:11" hidden="1" x14ac:dyDescent="0.25">
      <c r="A812" t="s">
        <v>1086</v>
      </c>
      <c r="B812" t="s">
        <v>1272</v>
      </c>
      <c r="C812" t="s">
        <v>1270</v>
      </c>
      <c r="D812">
        <v>2200</v>
      </c>
      <c r="E812">
        <v>140</v>
      </c>
      <c r="F812">
        <v>160</v>
      </c>
      <c r="G812">
        <v>11</v>
      </c>
      <c r="H812">
        <v>32000</v>
      </c>
      <c r="I812" t="s">
        <v>50</v>
      </c>
      <c r="J812">
        <v>3</v>
      </c>
      <c r="K812">
        <v>340</v>
      </c>
    </row>
    <row r="813" spans="1:11" hidden="1" x14ac:dyDescent="0.25">
      <c r="A813" t="s">
        <v>351</v>
      </c>
      <c r="B813" t="s">
        <v>379</v>
      </c>
      <c r="C813" t="s">
        <v>355</v>
      </c>
      <c r="D813">
        <v>1984</v>
      </c>
      <c r="E813">
        <v>245</v>
      </c>
      <c r="F813">
        <v>250</v>
      </c>
      <c r="G813">
        <v>5.9</v>
      </c>
      <c r="H813">
        <v>31965</v>
      </c>
      <c r="I813" t="s">
        <v>18</v>
      </c>
      <c r="J813">
        <v>5</v>
      </c>
      <c r="K813">
        <v>350</v>
      </c>
    </row>
    <row r="814" spans="1:11" hidden="1" x14ac:dyDescent="0.25">
      <c r="A814" t="s">
        <v>939</v>
      </c>
      <c r="B814" t="s">
        <v>994</v>
      </c>
      <c r="C814" t="s">
        <v>945</v>
      </c>
      <c r="D814">
        <v>1500</v>
      </c>
      <c r="E814">
        <v>170</v>
      </c>
      <c r="F814">
        <v>200</v>
      </c>
      <c r="G814">
        <v>8.8000000000000007</v>
      </c>
      <c r="H814">
        <v>31900</v>
      </c>
      <c r="I814" t="s">
        <v>18</v>
      </c>
      <c r="J814">
        <v>5</v>
      </c>
      <c r="K814">
        <v>275</v>
      </c>
    </row>
    <row r="815" spans="1:11" hidden="1" x14ac:dyDescent="0.25">
      <c r="A815" t="s">
        <v>939</v>
      </c>
      <c r="B815" t="s">
        <v>999</v>
      </c>
      <c r="C815" t="s">
        <v>926</v>
      </c>
      <c r="E815">
        <v>200</v>
      </c>
      <c r="F815">
        <v>150</v>
      </c>
      <c r="G815">
        <v>6.5</v>
      </c>
      <c r="H815">
        <v>31700</v>
      </c>
      <c r="I815" t="s">
        <v>132</v>
      </c>
      <c r="J815">
        <v>5</v>
      </c>
      <c r="K815">
        <v>360</v>
      </c>
    </row>
    <row r="816" spans="1:11" hidden="1" x14ac:dyDescent="0.25">
      <c r="A816" t="s">
        <v>886</v>
      </c>
      <c r="B816" t="s">
        <v>895</v>
      </c>
      <c r="C816" t="s">
        <v>896</v>
      </c>
      <c r="D816">
        <v>2000</v>
      </c>
      <c r="E816">
        <v>200</v>
      </c>
      <c r="F816">
        <v>200</v>
      </c>
      <c r="G816">
        <v>7.8</v>
      </c>
      <c r="H816">
        <v>31590</v>
      </c>
      <c r="I816" t="s">
        <v>18</v>
      </c>
      <c r="J816">
        <v>5</v>
      </c>
      <c r="K816">
        <v>320</v>
      </c>
    </row>
    <row r="817" spans="1:11" hidden="1" x14ac:dyDescent="0.25">
      <c r="A817" t="s">
        <v>1398</v>
      </c>
      <c r="B817" t="s">
        <v>1402</v>
      </c>
      <c r="C817" t="s">
        <v>1112</v>
      </c>
      <c r="D817">
        <v>2500</v>
      </c>
      <c r="E817">
        <v>181</v>
      </c>
      <c r="F817">
        <v>190</v>
      </c>
      <c r="G817">
        <v>9.5</v>
      </c>
      <c r="H817">
        <v>31500</v>
      </c>
      <c r="I817" t="s">
        <v>18</v>
      </c>
      <c r="J817">
        <v>7</v>
      </c>
      <c r="K817">
        <v>245</v>
      </c>
    </row>
    <row r="818" spans="1:11" hidden="1" x14ac:dyDescent="0.25">
      <c r="A818" t="s">
        <v>1398</v>
      </c>
      <c r="B818" t="s">
        <v>1478</v>
      </c>
      <c r="C818" t="s">
        <v>334</v>
      </c>
      <c r="D818">
        <v>3800</v>
      </c>
      <c r="E818">
        <v>225</v>
      </c>
      <c r="F818">
        <v>190</v>
      </c>
      <c r="G818">
        <v>9.5</v>
      </c>
      <c r="H818">
        <v>31500</v>
      </c>
      <c r="I818" t="s">
        <v>18</v>
      </c>
      <c r="J818">
        <v>5</v>
      </c>
      <c r="K818">
        <v>343</v>
      </c>
    </row>
    <row r="819" spans="1:11" hidden="1" x14ac:dyDescent="0.25">
      <c r="A819" t="s">
        <v>19</v>
      </c>
      <c r="B819" t="s">
        <v>1321</v>
      </c>
      <c r="C819" t="s">
        <v>1322</v>
      </c>
      <c r="E819">
        <v>190</v>
      </c>
      <c r="F819">
        <v>190</v>
      </c>
      <c r="G819">
        <v>7.5</v>
      </c>
      <c r="H819">
        <v>31500</v>
      </c>
      <c r="I819" t="s">
        <v>241</v>
      </c>
      <c r="J819">
        <v>5</v>
      </c>
      <c r="K819">
        <v>215</v>
      </c>
    </row>
    <row r="820" spans="1:11" hidden="1" x14ac:dyDescent="0.25">
      <c r="A820" t="s">
        <v>43</v>
      </c>
      <c r="B820" t="s">
        <v>286</v>
      </c>
      <c r="C820" t="s">
        <v>287</v>
      </c>
      <c r="D820">
        <v>1998</v>
      </c>
      <c r="E820">
        <v>220</v>
      </c>
      <c r="F820">
        <v>180</v>
      </c>
      <c r="G820">
        <v>6.7</v>
      </c>
      <c r="H820">
        <v>31100</v>
      </c>
      <c r="I820" t="s">
        <v>14</v>
      </c>
      <c r="J820">
        <v>5</v>
      </c>
      <c r="K820">
        <v>220</v>
      </c>
    </row>
    <row r="821" spans="1:11" hidden="1" x14ac:dyDescent="0.25">
      <c r="A821" t="s">
        <v>19</v>
      </c>
      <c r="B821" t="s">
        <v>1364</v>
      </c>
      <c r="C821" t="s">
        <v>1365</v>
      </c>
      <c r="D821">
        <v>3500</v>
      </c>
      <c r="E821">
        <v>287</v>
      </c>
      <c r="F821">
        <v>200</v>
      </c>
      <c r="G821">
        <v>7.9</v>
      </c>
      <c r="H821">
        <v>31000</v>
      </c>
      <c r="I821" t="s">
        <v>18</v>
      </c>
      <c r="J821">
        <v>7</v>
      </c>
      <c r="K821">
        <v>345</v>
      </c>
    </row>
    <row r="822" spans="1:11" hidden="1" x14ac:dyDescent="0.25">
      <c r="A822" t="s">
        <v>910</v>
      </c>
      <c r="B822" t="s">
        <v>1507</v>
      </c>
      <c r="C822" t="s">
        <v>1508</v>
      </c>
      <c r="D822">
        <v>3200</v>
      </c>
      <c r="E822">
        <v>200</v>
      </c>
      <c r="F822">
        <v>180</v>
      </c>
      <c r="G822">
        <v>10</v>
      </c>
      <c r="H822">
        <v>31000</v>
      </c>
      <c r="I822" t="s">
        <v>50</v>
      </c>
      <c r="J822">
        <v>5</v>
      </c>
      <c r="K822">
        <v>470</v>
      </c>
    </row>
    <row r="823" spans="1:11" hidden="1" x14ac:dyDescent="0.25">
      <c r="A823" t="s">
        <v>910</v>
      </c>
      <c r="B823" t="s">
        <v>1487</v>
      </c>
      <c r="C823" t="s">
        <v>1488</v>
      </c>
      <c r="D823">
        <v>2500</v>
      </c>
      <c r="E823">
        <v>250</v>
      </c>
      <c r="F823">
        <v>240</v>
      </c>
      <c r="G823">
        <v>6.4</v>
      </c>
      <c r="H823">
        <v>31000</v>
      </c>
      <c r="I823" t="s">
        <v>18</v>
      </c>
      <c r="J823">
        <v>5</v>
      </c>
      <c r="K823">
        <v>420</v>
      </c>
    </row>
    <row r="824" spans="1:11" hidden="1" x14ac:dyDescent="0.25">
      <c r="A824" t="s">
        <v>1398</v>
      </c>
      <c r="B824" t="s">
        <v>1430</v>
      </c>
      <c r="C824" t="s">
        <v>1412</v>
      </c>
      <c r="D824">
        <v>2400</v>
      </c>
      <c r="E824">
        <v>181</v>
      </c>
      <c r="F824">
        <v>177</v>
      </c>
      <c r="G824">
        <v>10.5</v>
      </c>
      <c r="H824">
        <v>31000</v>
      </c>
      <c r="I824" t="s">
        <v>50</v>
      </c>
      <c r="J824">
        <v>5</v>
      </c>
      <c r="K824">
        <v>430</v>
      </c>
    </row>
    <row r="825" spans="1:11" hidden="1" x14ac:dyDescent="0.25">
      <c r="A825" t="s">
        <v>1398</v>
      </c>
      <c r="B825" t="s">
        <v>1451</v>
      </c>
      <c r="C825" t="s">
        <v>1412</v>
      </c>
      <c r="D825">
        <v>2400</v>
      </c>
      <c r="E825">
        <v>181</v>
      </c>
      <c r="F825">
        <v>177</v>
      </c>
      <c r="G825">
        <v>10.5</v>
      </c>
      <c r="H825">
        <v>31000</v>
      </c>
      <c r="I825" t="s">
        <v>50</v>
      </c>
      <c r="J825">
        <v>5</v>
      </c>
      <c r="K825">
        <v>430</v>
      </c>
    </row>
    <row r="826" spans="1:11" hidden="1" x14ac:dyDescent="0.25">
      <c r="A826" t="s">
        <v>351</v>
      </c>
      <c r="B826" t="s">
        <v>455</v>
      </c>
      <c r="C826" t="s">
        <v>437</v>
      </c>
      <c r="D826">
        <v>1984</v>
      </c>
      <c r="E826">
        <v>228</v>
      </c>
      <c r="F826">
        <v>250</v>
      </c>
      <c r="G826">
        <v>6.5</v>
      </c>
      <c r="H826">
        <v>31000</v>
      </c>
      <c r="I826" t="s">
        <v>18</v>
      </c>
      <c r="J826">
        <v>5</v>
      </c>
      <c r="K826">
        <v>350</v>
      </c>
    </row>
    <row r="827" spans="1:11" hidden="1" x14ac:dyDescent="0.25">
      <c r="A827" t="s">
        <v>351</v>
      </c>
      <c r="B827" t="s">
        <v>490</v>
      </c>
      <c r="C827" t="s">
        <v>437</v>
      </c>
      <c r="D827">
        <v>1984</v>
      </c>
      <c r="E827">
        <v>228</v>
      </c>
      <c r="F827">
        <v>250</v>
      </c>
      <c r="G827">
        <v>6.5</v>
      </c>
      <c r="H827">
        <v>31000</v>
      </c>
      <c r="I827" t="s">
        <v>18</v>
      </c>
      <c r="J827">
        <v>5</v>
      </c>
      <c r="K827">
        <v>350</v>
      </c>
    </row>
    <row r="828" spans="1:11" x14ac:dyDescent="0.25">
      <c r="A828" t="s">
        <v>27</v>
      </c>
      <c r="B828" t="s">
        <v>206</v>
      </c>
      <c r="C828" t="s">
        <v>188</v>
      </c>
      <c r="D828">
        <v>1496</v>
      </c>
      <c r="E828">
        <v>116</v>
      </c>
      <c r="F828">
        <v>200</v>
      </c>
      <c r="G828">
        <v>10.5</v>
      </c>
      <c r="H828">
        <v>31000</v>
      </c>
      <c r="I828" t="s">
        <v>50</v>
      </c>
      <c r="J828">
        <v>5</v>
      </c>
      <c r="K828">
        <v>270</v>
      </c>
    </row>
    <row r="829" spans="1:11" hidden="1" x14ac:dyDescent="0.25">
      <c r="A829" t="s">
        <v>1007</v>
      </c>
      <c r="B829" t="s">
        <v>1065</v>
      </c>
      <c r="C829" t="s">
        <v>1051</v>
      </c>
      <c r="D829">
        <v>1490</v>
      </c>
      <c r="E829">
        <v>170</v>
      </c>
      <c r="F829">
        <v>200</v>
      </c>
      <c r="G829">
        <v>9.4</v>
      </c>
      <c r="H829">
        <v>31000</v>
      </c>
      <c r="I829" t="s">
        <v>18</v>
      </c>
      <c r="J829">
        <v>5</v>
      </c>
      <c r="K829">
        <v>275</v>
      </c>
    </row>
    <row r="830" spans="1:11" hidden="1" x14ac:dyDescent="0.25">
      <c r="A830" t="s">
        <v>939</v>
      </c>
      <c r="B830" t="s">
        <v>954</v>
      </c>
      <c r="C830" t="s">
        <v>791</v>
      </c>
      <c r="D830">
        <v>2700</v>
      </c>
      <c r="E830">
        <v>310</v>
      </c>
      <c r="F830">
        <v>190</v>
      </c>
      <c r="G830">
        <v>6.8</v>
      </c>
      <c r="H830">
        <v>30695</v>
      </c>
      <c r="I830" t="s">
        <v>18</v>
      </c>
      <c r="J830">
        <v>5</v>
      </c>
      <c r="K830">
        <v>583</v>
      </c>
    </row>
    <row r="831" spans="1:11" hidden="1" x14ac:dyDescent="0.25">
      <c r="A831" t="s">
        <v>1398</v>
      </c>
      <c r="B831" t="s">
        <v>1427</v>
      </c>
      <c r="C831" t="s">
        <v>1112</v>
      </c>
      <c r="D831">
        <v>2500</v>
      </c>
      <c r="E831">
        <v>181</v>
      </c>
      <c r="F831">
        <v>190</v>
      </c>
      <c r="G831">
        <v>9.5</v>
      </c>
      <c r="H831">
        <v>30500</v>
      </c>
      <c r="I831" t="s">
        <v>18</v>
      </c>
      <c r="J831">
        <v>7</v>
      </c>
      <c r="K831">
        <v>245</v>
      </c>
    </row>
    <row r="832" spans="1:11" hidden="1" x14ac:dyDescent="0.25">
      <c r="A832" t="s">
        <v>269</v>
      </c>
      <c r="B832" t="s">
        <v>331</v>
      </c>
      <c r="C832" t="s">
        <v>332</v>
      </c>
      <c r="D832">
        <v>2500</v>
      </c>
      <c r="E832">
        <v>187</v>
      </c>
      <c r="F832">
        <v>180</v>
      </c>
      <c r="G832">
        <v>6.1</v>
      </c>
      <c r="H832">
        <v>30500</v>
      </c>
      <c r="I832" t="s">
        <v>241</v>
      </c>
      <c r="J832">
        <v>5</v>
      </c>
      <c r="K832">
        <v>400</v>
      </c>
    </row>
    <row r="833" spans="1:11" hidden="1" x14ac:dyDescent="0.25">
      <c r="A833" t="s">
        <v>910</v>
      </c>
      <c r="B833" t="s">
        <v>1502</v>
      </c>
      <c r="C833" t="s">
        <v>1503</v>
      </c>
      <c r="D833">
        <v>2300</v>
      </c>
      <c r="E833">
        <v>244</v>
      </c>
      <c r="F833">
        <v>210</v>
      </c>
      <c r="G833">
        <v>7.9</v>
      </c>
      <c r="H833">
        <v>30500</v>
      </c>
      <c r="I833" t="s">
        <v>18</v>
      </c>
      <c r="J833">
        <v>5</v>
      </c>
      <c r="K833">
        <v>350</v>
      </c>
    </row>
    <row r="834" spans="1:11" hidden="1" x14ac:dyDescent="0.25">
      <c r="A834" t="s">
        <v>52</v>
      </c>
      <c r="B834" t="s">
        <v>670</v>
      </c>
      <c r="C834" t="s">
        <v>605</v>
      </c>
      <c r="D834">
        <v>2498</v>
      </c>
      <c r="F834">
        <v>140</v>
      </c>
      <c r="G834">
        <v>14</v>
      </c>
      <c r="H834">
        <v>30000</v>
      </c>
      <c r="I834" t="s">
        <v>50</v>
      </c>
      <c r="J834">
        <v>7</v>
      </c>
      <c r="K834">
        <v>260</v>
      </c>
    </row>
    <row r="835" spans="1:11" hidden="1" x14ac:dyDescent="0.25">
      <c r="A835" t="s">
        <v>52</v>
      </c>
      <c r="B835" t="s">
        <v>62</v>
      </c>
      <c r="C835" t="s">
        <v>54</v>
      </c>
      <c r="D835">
        <v>3799</v>
      </c>
      <c r="E835">
        <v>310</v>
      </c>
      <c r="F835">
        <v>180</v>
      </c>
      <c r="G835">
        <v>6.8</v>
      </c>
      <c r="H835">
        <v>30000</v>
      </c>
      <c r="I835" t="s">
        <v>18</v>
      </c>
      <c r="J835">
        <v>5</v>
      </c>
      <c r="K835">
        <v>381</v>
      </c>
    </row>
    <row r="836" spans="1:11" hidden="1" x14ac:dyDescent="0.25">
      <c r="A836" t="s">
        <v>52</v>
      </c>
      <c r="B836" t="s">
        <v>566</v>
      </c>
      <c r="C836" t="s">
        <v>567</v>
      </c>
      <c r="D836">
        <v>2498</v>
      </c>
      <c r="F836">
        <v>210</v>
      </c>
      <c r="G836">
        <v>8.6</v>
      </c>
      <c r="H836">
        <v>30000</v>
      </c>
      <c r="I836" t="s">
        <v>18</v>
      </c>
      <c r="J836">
        <v>5</v>
      </c>
      <c r="K836">
        <v>250</v>
      </c>
    </row>
    <row r="837" spans="1:11" hidden="1" x14ac:dyDescent="0.25">
      <c r="A837" t="s">
        <v>218</v>
      </c>
      <c r="B837" t="s">
        <v>220</v>
      </c>
      <c r="C837" t="s">
        <v>45</v>
      </c>
      <c r="D837">
        <v>2480</v>
      </c>
      <c r="E837">
        <v>187</v>
      </c>
      <c r="F837">
        <v>200</v>
      </c>
      <c r="G837">
        <v>8</v>
      </c>
      <c r="H837">
        <v>30000</v>
      </c>
      <c r="I837" t="s">
        <v>18</v>
      </c>
      <c r="J837">
        <v>5</v>
      </c>
      <c r="K837">
        <v>250</v>
      </c>
    </row>
    <row r="838" spans="1:11" hidden="1" x14ac:dyDescent="0.25">
      <c r="A838" t="s">
        <v>1226</v>
      </c>
      <c r="B838" t="s">
        <v>1245</v>
      </c>
      <c r="C838" t="s">
        <v>1240</v>
      </c>
      <c r="D838">
        <v>2400</v>
      </c>
      <c r="E838">
        <v>201</v>
      </c>
      <c r="F838">
        <v>200</v>
      </c>
      <c r="G838">
        <v>6.6</v>
      </c>
      <c r="H838">
        <v>30000</v>
      </c>
      <c r="I838" t="s">
        <v>18</v>
      </c>
      <c r="J838">
        <v>5</v>
      </c>
      <c r="K838">
        <v>180</v>
      </c>
    </row>
    <row r="839" spans="1:11" hidden="1" x14ac:dyDescent="0.25">
      <c r="A839" t="s">
        <v>1226</v>
      </c>
      <c r="B839" t="s">
        <v>1250</v>
      </c>
      <c r="C839" t="s">
        <v>1240</v>
      </c>
      <c r="D839">
        <v>2400</v>
      </c>
      <c r="E839">
        <v>201</v>
      </c>
      <c r="F839">
        <v>200</v>
      </c>
      <c r="G839">
        <v>6.6</v>
      </c>
      <c r="H839">
        <v>30000</v>
      </c>
      <c r="I839" t="s">
        <v>18</v>
      </c>
      <c r="J839">
        <v>5</v>
      </c>
      <c r="K839">
        <v>180</v>
      </c>
    </row>
    <row r="840" spans="1:11" hidden="1" x14ac:dyDescent="0.25">
      <c r="A840" t="s">
        <v>1398</v>
      </c>
      <c r="B840" t="s">
        <v>1413</v>
      </c>
      <c r="C840" t="s">
        <v>1412</v>
      </c>
      <c r="D840">
        <v>2400</v>
      </c>
      <c r="E840">
        <v>181</v>
      </c>
      <c r="F840">
        <v>177</v>
      </c>
      <c r="G840">
        <v>10.5</v>
      </c>
      <c r="H840">
        <v>30000</v>
      </c>
      <c r="I840" t="s">
        <v>50</v>
      </c>
      <c r="J840">
        <v>5</v>
      </c>
      <c r="K840">
        <v>430</v>
      </c>
    </row>
    <row r="841" spans="1:11" hidden="1" x14ac:dyDescent="0.25">
      <c r="A841" t="s">
        <v>19</v>
      </c>
      <c r="B841" t="s">
        <v>1352</v>
      </c>
      <c r="C841" t="s">
        <v>1353</v>
      </c>
      <c r="D841">
        <v>2300</v>
      </c>
      <c r="E841">
        <v>280</v>
      </c>
      <c r="F841">
        <v>250</v>
      </c>
      <c r="G841">
        <v>5.7</v>
      </c>
      <c r="H841">
        <v>30000</v>
      </c>
      <c r="I841" t="s">
        <v>18</v>
      </c>
      <c r="J841">
        <v>5</v>
      </c>
      <c r="K841">
        <v>420</v>
      </c>
    </row>
    <row r="842" spans="1:11" x14ac:dyDescent="0.25">
      <c r="A842" t="s">
        <v>27</v>
      </c>
      <c r="B842" t="s">
        <v>190</v>
      </c>
      <c r="C842" t="s">
        <v>45</v>
      </c>
      <c r="D842">
        <v>1998</v>
      </c>
      <c r="E842">
        <v>302</v>
      </c>
      <c r="F842">
        <v>250</v>
      </c>
      <c r="G842">
        <v>4.8</v>
      </c>
      <c r="H842">
        <v>30000</v>
      </c>
      <c r="I842" t="s">
        <v>18</v>
      </c>
      <c r="J842">
        <v>5</v>
      </c>
      <c r="K842">
        <v>450</v>
      </c>
    </row>
    <row r="843" spans="1:11" hidden="1" x14ac:dyDescent="0.25">
      <c r="A843" t="s">
        <v>52</v>
      </c>
      <c r="B843" t="s">
        <v>676</v>
      </c>
      <c r="C843" t="s">
        <v>616</v>
      </c>
      <c r="D843">
        <v>1998</v>
      </c>
      <c r="F843">
        <v>225</v>
      </c>
      <c r="G843">
        <v>6</v>
      </c>
      <c r="H843">
        <v>30000</v>
      </c>
      <c r="I843" t="s">
        <v>18</v>
      </c>
      <c r="J843">
        <v>5</v>
      </c>
      <c r="K843">
        <v>280</v>
      </c>
    </row>
    <row r="844" spans="1:11" hidden="1" x14ac:dyDescent="0.25">
      <c r="A844" t="s">
        <v>351</v>
      </c>
      <c r="B844" t="s">
        <v>370</v>
      </c>
      <c r="C844" t="s">
        <v>355</v>
      </c>
      <c r="D844">
        <v>1984</v>
      </c>
      <c r="E844">
        <v>208</v>
      </c>
      <c r="F844">
        <v>205</v>
      </c>
      <c r="G844">
        <v>7.2</v>
      </c>
      <c r="H844">
        <v>30000</v>
      </c>
      <c r="I844" t="s">
        <v>18</v>
      </c>
      <c r="J844">
        <v>5</v>
      </c>
      <c r="K844">
        <v>320</v>
      </c>
    </row>
    <row r="845" spans="1:11" hidden="1" x14ac:dyDescent="0.25">
      <c r="A845" t="s">
        <v>351</v>
      </c>
      <c r="B845" t="s">
        <v>475</v>
      </c>
      <c r="C845" t="s">
        <v>437</v>
      </c>
      <c r="D845">
        <v>1984</v>
      </c>
      <c r="E845">
        <v>300</v>
      </c>
      <c r="F845">
        <v>240</v>
      </c>
      <c r="G845">
        <v>6.7</v>
      </c>
      <c r="H845">
        <v>30000</v>
      </c>
      <c r="I845" t="s">
        <v>18</v>
      </c>
      <c r="J845">
        <v>5</v>
      </c>
      <c r="K845">
        <v>320</v>
      </c>
    </row>
    <row r="846" spans="1:11" hidden="1" x14ac:dyDescent="0.25">
      <c r="A846" t="s">
        <v>351</v>
      </c>
      <c r="B846" t="s">
        <v>496</v>
      </c>
      <c r="C846" t="s">
        <v>437</v>
      </c>
      <c r="D846">
        <v>1984</v>
      </c>
      <c r="E846">
        <v>207</v>
      </c>
      <c r="F846">
        <v>237</v>
      </c>
      <c r="G846">
        <v>6.7</v>
      </c>
      <c r="H846">
        <v>30000</v>
      </c>
      <c r="I846" t="s">
        <v>18</v>
      </c>
      <c r="J846">
        <v>5</v>
      </c>
      <c r="K846">
        <v>320</v>
      </c>
    </row>
    <row r="847" spans="1:11" hidden="1" x14ac:dyDescent="0.25">
      <c r="A847" t="s">
        <v>351</v>
      </c>
      <c r="B847" t="s">
        <v>492</v>
      </c>
      <c r="C847" t="s">
        <v>464</v>
      </c>
      <c r="D847">
        <v>1968</v>
      </c>
      <c r="E847">
        <v>167</v>
      </c>
      <c r="F847">
        <v>220</v>
      </c>
      <c r="G847">
        <v>7.8</v>
      </c>
      <c r="H847">
        <v>30000</v>
      </c>
      <c r="I847" t="s">
        <v>50</v>
      </c>
      <c r="J847">
        <v>5</v>
      </c>
      <c r="K847">
        <v>350</v>
      </c>
    </row>
    <row r="848" spans="1:11" hidden="1" x14ac:dyDescent="0.25">
      <c r="A848" t="s">
        <v>218</v>
      </c>
      <c r="B848" t="s">
        <v>1119</v>
      </c>
      <c r="C848" t="s">
        <v>1096</v>
      </c>
      <c r="D848">
        <v>1591</v>
      </c>
      <c r="E848">
        <v>139</v>
      </c>
      <c r="F848">
        <v>180</v>
      </c>
      <c r="G848">
        <v>10.5</v>
      </c>
      <c r="H848">
        <v>30000</v>
      </c>
      <c r="I848" t="s">
        <v>65</v>
      </c>
      <c r="J848">
        <v>5</v>
      </c>
      <c r="K848">
        <v>265</v>
      </c>
    </row>
    <row r="849" spans="1:11" hidden="1" x14ac:dyDescent="0.25">
      <c r="A849" t="s">
        <v>218</v>
      </c>
      <c r="B849" t="s">
        <v>1144</v>
      </c>
      <c r="C849" t="s">
        <v>1085</v>
      </c>
      <c r="D849">
        <v>1591</v>
      </c>
      <c r="E849">
        <v>175</v>
      </c>
      <c r="F849">
        <v>210</v>
      </c>
      <c r="G849">
        <v>7.5</v>
      </c>
      <c r="H849">
        <v>30000</v>
      </c>
      <c r="I849" t="s">
        <v>18</v>
      </c>
      <c r="J849">
        <v>5</v>
      </c>
      <c r="K849">
        <v>264</v>
      </c>
    </row>
    <row r="850" spans="1:11" hidden="1" x14ac:dyDescent="0.25">
      <c r="A850" t="s">
        <v>1086</v>
      </c>
      <c r="B850" t="s">
        <v>1279</v>
      </c>
      <c r="C850" t="s">
        <v>1240</v>
      </c>
      <c r="D850">
        <v>1499</v>
      </c>
      <c r="E850">
        <v>180</v>
      </c>
      <c r="F850">
        <v>210</v>
      </c>
      <c r="G850">
        <v>8</v>
      </c>
      <c r="H850">
        <v>30000</v>
      </c>
      <c r="I850" t="s">
        <v>18</v>
      </c>
      <c r="J850">
        <v>5</v>
      </c>
      <c r="K850">
        <v>250</v>
      </c>
    </row>
    <row r="851" spans="1:11" hidden="1" x14ac:dyDescent="0.25">
      <c r="A851" t="s">
        <v>1086</v>
      </c>
      <c r="B851" t="s">
        <v>1298</v>
      </c>
      <c r="C851" t="s">
        <v>1240</v>
      </c>
      <c r="D851">
        <v>1499</v>
      </c>
      <c r="E851">
        <v>130</v>
      </c>
      <c r="F851">
        <v>200</v>
      </c>
      <c r="G851">
        <v>10</v>
      </c>
      <c r="H851">
        <v>30000</v>
      </c>
      <c r="I851" t="s">
        <v>18</v>
      </c>
      <c r="J851">
        <v>5</v>
      </c>
      <c r="K851">
        <v>240</v>
      </c>
    </row>
    <row r="852" spans="1:11" hidden="1" x14ac:dyDescent="0.25">
      <c r="A852" t="s">
        <v>224</v>
      </c>
      <c r="B852" t="s">
        <v>240</v>
      </c>
      <c r="C852" t="s">
        <v>45</v>
      </c>
      <c r="D852">
        <v>1498</v>
      </c>
      <c r="E852">
        <v>190</v>
      </c>
      <c r="F852">
        <v>186</v>
      </c>
      <c r="G852">
        <v>8.1999999999999993</v>
      </c>
      <c r="H852">
        <v>30000</v>
      </c>
      <c r="I852" t="s">
        <v>241</v>
      </c>
      <c r="J852">
        <v>5</v>
      </c>
      <c r="K852">
        <v>400</v>
      </c>
    </row>
    <row r="853" spans="1:11" hidden="1" x14ac:dyDescent="0.25">
      <c r="A853" t="s">
        <v>351</v>
      </c>
      <c r="B853" t="s">
        <v>396</v>
      </c>
      <c r="C853" t="s">
        <v>358</v>
      </c>
      <c r="D853">
        <v>1498</v>
      </c>
      <c r="E853">
        <v>140</v>
      </c>
      <c r="F853">
        <v>210</v>
      </c>
      <c r="G853">
        <v>8.9</v>
      </c>
      <c r="H853">
        <v>30000</v>
      </c>
      <c r="I853" t="s">
        <v>18</v>
      </c>
      <c r="J853">
        <v>5</v>
      </c>
      <c r="K853">
        <v>250</v>
      </c>
    </row>
    <row r="854" spans="1:11" hidden="1" x14ac:dyDescent="0.25">
      <c r="A854" t="s">
        <v>351</v>
      </c>
      <c r="B854" t="s">
        <v>478</v>
      </c>
      <c r="C854" t="s">
        <v>479</v>
      </c>
      <c r="D854">
        <v>1498</v>
      </c>
      <c r="E854">
        <v>130</v>
      </c>
      <c r="F854">
        <v>220</v>
      </c>
      <c r="G854">
        <v>8.8000000000000007</v>
      </c>
      <c r="H854">
        <v>30000</v>
      </c>
      <c r="I854" t="s">
        <v>18</v>
      </c>
      <c r="J854">
        <v>5</v>
      </c>
      <c r="K854">
        <v>200</v>
      </c>
    </row>
    <row r="855" spans="1:11" x14ac:dyDescent="0.25">
      <c r="A855" t="s">
        <v>27</v>
      </c>
      <c r="B855" t="s">
        <v>191</v>
      </c>
      <c r="C855" t="s">
        <v>188</v>
      </c>
      <c r="D855">
        <v>1496</v>
      </c>
      <c r="E855">
        <v>116</v>
      </c>
      <c r="F855">
        <v>200</v>
      </c>
      <c r="G855">
        <v>10.3</v>
      </c>
      <c r="H855">
        <v>30000</v>
      </c>
      <c r="I855" t="s">
        <v>50</v>
      </c>
      <c r="J855">
        <v>5</v>
      </c>
      <c r="K855">
        <v>280</v>
      </c>
    </row>
    <row r="856" spans="1:11" x14ac:dyDescent="0.25">
      <c r="A856" t="s">
        <v>27</v>
      </c>
      <c r="B856" t="s">
        <v>201</v>
      </c>
      <c r="C856" t="s">
        <v>188</v>
      </c>
      <c r="D856">
        <v>1496</v>
      </c>
      <c r="E856">
        <v>116</v>
      </c>
      <c r="F856">
        <v>200</v>
      </c>
      <c r="G856">
        <v>10.9</v>
      </c>
      <c r="H856">
        <v>30000</v>
      </c>
      <c r="I856" t="s">
        <v>50</v>
      </c>
      <c r="J856">
        <v>5</v>
      </c>
      <c r="K856">
        <v>270</v>
      </c>
    </row>
    <row r="857" spans="1:11" hidden="1" x14ac:dyDescent="0.25">
      <c r="A857" t="s">
        <v>351</v>
      </c>
      <c r="B857" t="s">
        <v>474</v>
      </c>
      <c r="C857" t="s">
        <v>451</v>
      </c>
      <c r="E857">
        <v>195</v>
      </c>
      <c r="F857">
        <v>220</v>
      </c>
      <c r="G857">
        <v>8.5</v>
      </c>
      <c r="H857">
        <v>30000</v>
      </c>
      <c r="I857" t="s">
        <v>18</v>
      </c>
      <c r="J857">
        <v>5</v>
      </c>
      <c r="K857">
        <v>280</v>
      </c>
    </row>
    <row r="858" spans="1:11" hidden="1" x14ac:dyDescent="0.25">
      <c r="A858" t="s">
        <v>1226</v>
      </c>
      <c r="B858" t="s">
        <v>1233</v>
      </c>
      <c r="C858" t="s">
        <v>45</v>
      </c>
      <c r="E858">
        <v>201</v>
      </c>
      <c r="F858">
        <v>200</v>
      </c>
      <c r="G858">
        <v>6.6</v>
      </c>
      <c r="H858">
        <v>30000</v>
      </c>
      <c r="I858" t="s">
        <v>18</v>
      </c>
      <c r="J858">
        <v>5</v>
      </c>
      <c r="K858">
        <v>180</v>
      </c>
    </row>
    <row r="859" spans="1:11" hidden="1" x14ac:dyDescent="0.25">
      <c r="A859" t="s">
        <v>43</v>
      </c>
      <c r="B859" t="s">
        <v>48</v>
      </c>
      <c r="C859" t="s">
        <v>47</v>
      </c>
      <c r="D859">
        <v>2387</v>
      </c>
      <c r="E859">
        <v>228</v>
      </c>
      <c r="F859">
        <v>226</v>
      </c>
      <c r="G859">
        <v>5.6</v>
      </c>
      <c r="H859">
        <v>30000</v>
      </c>
      <c r="I859" t="s">
        <v>18</v>
      </c>
      <c r="J859">
        <v>4</v>
      </c>
      <c r="K859">
        <v>250</v>
      </c>
    </row>
    <row r="860" spans="1:11" hidden="1" x14ac:dyDescent="0.25">
      <c r="A860" t="s">
        <v>52</v>
      </c>
      <c r="B860" t="s">
        <v>633</v>
      </c>
      <c r="C860" t="s">
        <v>616</v>
      </c>
      <c r="D860">
        <v>1998</v>
      </c>
      <c r="F860">
        <v>240</v>
      </c>
      <c r="G860">
        <v>7.2</v>
      </c>
      <c r="H860">
        <v>30000</v>
      </c>
      <c r="I860" t="s">
        <v>18</v>
      </c>
      <c r="J860">
        <v>4</v>
      </c>
      <c r="K860">
        <v>265</v>
      </c>
    </row>
    <row r="861" spans="1:11" hidden="1" x14ac:dyDescent="0.25">
      <c r="A861" t="s">
        <v>351</v>
      </c>
      <c r="B861" t="s">
        <v>448</v>
      </c>
      <c r="C861" t="s">
        <v>449</v>
      </c>
      <c r="D861">
        <v>1395</v>
      </c>
      <c r="E861">
        <v>150</v>
      </c>
      <c r="F861">
        <v>200</v>
      </c>
      <c r="G861">
        <v>7.5</v>
      </c>
      <c r="H861">
        <v>30000</v>
      </c>
      <c r="I861" t="s">
        <v>18</v>
      </c>
      <c r="J861">
        <v>4</v>
      </c>
      <c r="K861">
        <v>250</v>
      </c>
    </row>
    <row r="862" spans="1:11" hidden="1" x14ac:dyDescent="0.25">
      <c r="A862" t="s">
        <v>351</v>
      </c>
      <c r="B862" t="s">
        <v>413</v>
      </c>
      <c r="C862" t="s">
        <v>414</v>
      </c>
      <c r="E862">
        <v>158</v>
      </c>
      <c r="F862">
        <v>217</v>
      </c>
      <c r="G862">
        <v>8.4</v>
      </c>
      <c r="H862">
        <v>30000</v>
      </c>
      <c r="I862" t="s">
        <v>18</v>
      </c>
      <c r="J862">
        <v>4</v>
      </c>
      <c r="K862">
        <v>200</v>
      </c>
    </row>
    <row r="863" spans="1:11" hidden="1" x14ac:dyDescent="0.25">
      <c r="A863" t="s">
        <v>1086</v>
      </c>
      <c r="B863" t="s">
        <v>1271</v>
      </c>
      <c r="C863" t="s">
        <v>1270</v>
      </c>
      <c r="D863">
        <v>1997</v>
      </c>
      <c r="E863">
        <v>120</v>
      </c>
      <c r="F863">
        <v>180</v>
      </c>
      <c r="G863">
        <v>10</v>
      </c>
      <c r="H863">
        <v>30000</v>
      </c>
      <c r="I863" t="s">
        <v>50</v>
      </c>
      <c r="J863">
        <v>3</v>
      </c>
      <c r="K863">
        <v>300</v>
      </c>
    </row>
    <row r="864" spans="1:11" hidden="1" x14ac:dyDescent="0.25">
      <c r="A864" t="s">
        <v>1086</v>
      </c>
      <c r="B864" t="s">
        <v>1289</v>
      </c>
      <c r="C864" t="s">
        <v>1240</v>
      </c>
      <c r="D864">
        <v>1997</v>
      </c>
      <c r="E864">
        <v>120</v>
      </c>
      <c r="F864">
        <v>160</v>
      </c>
      <c r="G864">
        <v>13</v>
      </c>
      <c r="H864">
        <v>30000</v>
      </c>
      <c r="I864" t="s">
        <v>50</v>
      </c>
      <c r="J864">
        <v>3</v>
      </c>
      <c r="K864">
        <v>320</v>
      </c>
    </row>
    <row r="865" spans="1:11" hidden="1" x14ac:dyDescent="0.25">
      <c r="A865" t="s">
        <v>52</v>
      </c>
      <c r="B865" t="s">
        <v>55</v>
      </c>
      <c r="C865" t="s">
        <v>54</v>
      </c>
      <c r="D865">
        <v>3696</v>
      </c>
      <c r="E865">
        <v>332</v>
      </c>
      <c r="F865">
        <v>250</v>
      </c>
      <c r="G865">
        <v>4.7</v>
      </c>
      <c r="H865">
        <v>30000</v>
      </c>
      <c r="I865" t="s">
        <v>18</v>
      </c>
      <c r="J865">
        <v>2</v>
      </c>
      <c r="K865">
        <v>366</v>
      </c>
    </row>
    <row r="866" spans="1:11" hidden="1" x14ac:dyDescent="0.25">
      <c r="A866" t="s">
        <v>910</v>
      </c>
      <c r="B866" t="s">
        <v>1498</v>
      </c>
      <c r="C866" t="s">
        <v>1484</v>
      </c>
      <c r="D866">
        <v>2000</v>
      </c>
      <c r="E866">
        <v>181</v>
      </c>
      <c r="F866">
        <v>225</v>
      </c>
      <c r="G866">
        <v>6.5</v>
      </c>
      <c r="H866">
        <v>30000</v>
      </c>
      <c r="I866" t="s">
        <v>18</v>
      </c>
      <c r="J866">
        <v>2</v>
      </c>
      <c r="K866">
        <v>205</v>
      </c>
    </row>
    <row r="867" spans="1:11" hidden="1" x14ac:dyDescent="0.25">
      <c r="A867" t="s">
        <v>910</v>
      </c>
      <c r="B867" t="s">
        <v>1572</v>
      </c>
      <c r="C867" t="s">
        <v>1563</v>
      </c>
      <c r="D867">
        <v>1308</v>
      </c>
      <c r="E867">
        <v>165</v>
      </c>
      <c r="F867">
        <v>230</v>
      </c>
      <c r="G867">
        <v>7.5</v>
      </c>
      <c r="H867">
        <v>30000</v>
      </c>
      <c r="I867" t="s">
        <v>18</v>
      </c>
      <c r="J867">
        <v>2</v>
      </c>
      <c r="K867">
        <v>230</v>
      </c>
    </row>
    <row r="868" spans="1:11" hidden="1" x14ac:dyDescent="0.25">
      <c r="A868" t="s">
        <v>1007</v>
      </c>
      <c r="B868" t="s">
        <v>1008</v>
      </c>
      <c r="C868" t="s">
        <v>1009</v>
      </c>
      <c r="D868">
        <v>1500</v>
      </c>
      <c r="E868">
        <v>175</v>
      </c>
      <c r="F868">
        <v>190</v>
      </c>
      <c r="G868">
        <v>9.5</v>
      </c>
      <c r="H868">
        <v>29900</v>
      </c>
      <c r="I868" t="s">
        <v>18</v>
      </c>
      <c r="J868">
        <v>5</v>
      </c>
      <c r="K868">
        <v>275</v>
      </c>
    </row>
    <row r="869" spans="1:11" hidden="1" x14ac:dyDescent="0.25">
      <c r="A869" t="s">
        <v>224</v>
      </c>
      <c r="B869" t="s">
        <v>233</v>
      </c>
      <c r="C869" t="s">
        <v>45</v>
      </c>
      <c r="D869">
        <v>1498</v>
      </c>
      <c r="E869">
        <v>192</v>
      </c>
      <c r="F869">
        <v>201</v>
      </c>
      <c r="G869">
        <v>7.1</v>
      </c>
      <c r="H869">
        <v>29400</v>
      </c>
      <c r="I869" t="s">
        <v>18</v>
      </c>
      <c r="J869">
        <v>5</v>
      </c>
      <c r="K869">
        <v>370</v>
      </c>
    </row>
    <row r="870" spans="1:11" hidden="1" x14ac:dyDescent="0.25">
      <c r="A870" t="s">
        <v>19</v>
      </c>
      <c r="B870" t="s">
        <v>1368</v>
      </c>
      <c r="C870" t="s">
        <v>1369</v>
      </c>
      <c r="D870">
        <v>2000</v>
      </c>
      <c r="E870">
        <v>162</v>
      </c>
      <c r="F870">
        <v>175</v>
      </c>
      <c r="G870">
        <v>10.5</v>
      </c>
      <c r="H870">
        <v>29365</v>
      </c>
      <c r="I870" t="s">
        <v>18</v>
      </c>
      <c r="J870">
        <v>7</v>
      </c>
      <c r="K870">
        <v>200</v>
      </c>
    </row>
    <row r="871" spans="1:11" hidden="1" x14ac:dyDescent="0.25">
      <c r="A871" t="s">
        <v>939</v>
      </c>
      <c r="B871" t="s">
        <v>986</v>
      </c>
      <c r="C871" t="s">
        <v>791</v>
      </c>
      <c r="D871">
        <v>2700</v>
      </c>
      <c r="E871">
        <v>310</v>
      </c>
      <c r="F871">
        <v>190</v>
      </c>
      <c r="G871">
        <v>6.9</v>
      </c>
      <c r="H871">
        <v>29200</v>
      </c>
      <c r="I871" t="s">
        <v>18</v>
      </c>
      <c r="J871">
        <v>5</v>
      </c>
      <c r="K871">
        <v>583</v>
      </c>
    </row>
    <row r="872" spans="1:11" hidden="1" x14ac:dyDescent="0.25">
      <c r="A872" t="s">
        <v>1398</v>
      </c>
      <c r="B872" t="s">
        <v>1449</v>
      </c>
      <c r="C872" t="s">
        <v>1112</v>
      </c>
      <c r="D872">
        <v>2500</v>
      </c>
      <c r="E872">
        <v>181</v>
      </c>
      <c r="F872">
        <v>190</v>
      </c>
      <c r="G872">
        <v>9.5</v>
      </c>
      <c r="H872">
        <v>29000</v>
      </c>
      <c r="I872" t="s">
        <v>18</v>
      </c>
      <c r="J872">
        <v>7</v>
      </c>
      <c r="K872">
        <v>245</v>
      </c>
    </row>
    <row r="873" spans="1:11" hidden="1" x14ac:dyDescent="0.25">
      <c r="A873" t="s">
        <v>910</v>
      </c>
      <c r="B873" t="s">
        <v>1491</v>
      </c>
      <c r="C873" t="s">
        <v>1486</v>
      </c>
      <c r="D873">
        <v>2500</v>
      </c>
      <c r="E873">
        <v>187</v>
      </c>
      <c r="F873">
        <v>200</v>
      </c>
      <c r="G873">
        <v>8.8000000000000007</v>
      </c>
      <c r="H873">
        <v>29000</v>
      </c>
      <c r="I873" t="s">
        <v>18</v>
      </c>
      <c r="J873">
        <v>5</v>
      </c>
      <c r="K873">
        <v>252</v>
      </c>
    </row>
    <row r="874" spans="1:11" hidden="1" x14ac:dyDescent="0.25">
      <c r="A874" t="s">
        <v>218</v>
      </c>
      <c r="B874" t="s">
        <v>230</v>
      </c>
      <c r="C874" t="s">
        <v>45</v>
      </c>
      <c r="D874">
        <v>2480</v>
      </c>
      <c r="E874">
        <v>187</v>
      </c>
      <c r="F874">
        <v>200</v>
      </c>
      <c r="G874">
        <v>8.3000000000000007</v>
      </c>
      <c r="H874">
        <v>29000</v>
      </c>
      <c r="I874" t="s">
        <v>18</v>
      </c>
      <c r="J874">
        <v>5</v>
      </c>
      <c r="K874">
        <v>250</v>
      </c>
    </row>
    <row r="875" spans="1:11" x14ac:dyDescent="0.25">
      <c r="A875" t="s">
        <v>27</v>
      </c>
      <c r="B875" t="s">
        <v>205</v>
      </c>
      <c r="C875" t="s">
        <v>45</v>
      </c>
      <c r="D875">
        <v>1598</v>
      </c>
      <c r="E875">
        <v>109</v>
      </c>
      <c r="F875">
        <v>195</v>
      </c>
      <c r="G875">
        <v>10.9</v>
      </c>
      <c r="H875">
        <v>29000</v>
      </c>
      <c r="I875" t="s">
        <v>18</v>
      </c>
      <c r="J875">
        <v>5</v>
      </c>
      <c r="K875">
        <v>200</v>
      </c>
    </row>
    <row r="876" spans="1:11" hidden="1" x14ac:dyDescent="0.25">
      <c r="A876" t="s">
        <v>218</v>
      </c>
      <c r="B876" t="s">
        <v>1116</v>
      </c>
      <c r="C876" t="s">
        <v>1085</v>
      </c>
      <c r="D876">
        <v>1591</v>
      </c>
      <c r="E876">
        <v>180</v>
      </c>
      <c r="F876">
        <v>220</v>
      </c>
      <c r="G876">
        <v>7.8</v>
      </c>
      <c r="H876">
        <v>29000</v>
      </c>
      <c r="I876" t="s">
        <v>18</v>
      </c>
      <c r="J876">
        <v>5</v>
      </c>
      <c r="K876">
        <v>264</v>
      </c>
    </row>
    <row r="877" spans="1:11" hidden="1" x14ac:dyDescent="0.25">
      <c r="A877" t="s">
        <v>1398</v>
      </c>
      <c r="B877" t="s">
        <v>1428</v>
      </c>
      <c r="C877" t="s">
        <v>1406</v>
      </c>
      <c r="D877">
        <v>1500</v>
      </c>
      <c r="E877">
        <v>152</v>
      </c>
      <c r="F877">
        <v>180</v>
      </c>
      <c r="G877">
        <v>9.8000000000000007</v>
      </c>
      <c r="H877">
        <v>29000</v>
      </c>
      <c r="I877" t="s">
        <v>18</v>
      </c>
      <c r="J877">
        <v>5</v>
      </c>
      <c r="K877">
        <v>250</v>
      </c>
    </row>
    <row r="878" spans="1:11" hidden="1" x14ac:dyDescent="0.25">
      <c r="A878" t="s">
        <v>52</v>
      </c>
      <c r="B878" t="s">
        <v>517</v>
      </c>
      <c r="C878" t="s">
        <v>518</v>
      </c>
      <c r="D878">
        <v>1498</v>
      </c>
      <c r="F878">
        <v>200</v>
      </c>
      <c r="G878">
        <v>8</v>
      </c>
      <c r="H878">
        <v>29000</v>
      </c>
      <c r="I878" t="s">
        <v>65</v>
      </c>
      <c r="J878">
        <v>5</v>
      </c>
      <c r="K878">
        <v>305</v>
      </c>
    </row>
    <row r="879" spans="1:11" hidden="1" x14ac:dyDescent="0.25">
      <c r="A879" t="s">
        <v>43</v>
      </c>
      <c r="B879" t="s">
        <v>265</v>
      </c>
      <c r="C879" t="s">
        <v>45</v>
      </c>
      <c r="D879">
        <v>1986</v>
      </c>
      <c r="E879">
        <v>168</v>
      </c>
      <c r="F879">
        <v>200</v>
      </c>
      <c r="G879">
        <v>6.9</v>
      </c>
      <c r="H879">
        <v>29000</v>
      </c>
      <c r="I879" t="s">
        <v>18</v>
      </c>
      <c r="J879">
        <v>2</v>
      </c>
      <c r="K879">
        <v>400</v>
      </c>
    </row>
    <row r="880" spans="1:11" hidden="1" x14ac:dyDescent="0.25">
      <c r="A880" t="s">
        <v>939</v>
      </c>
      <c r="B880" t="s">
        <v>961</v>
      </c>
      <c r="C880" t="s">
        <v>926</v>
      </c>
      <c r="E880">
        <v>200</v>
      </c>
      <c r="F880">
        <v>150</v>
      </c>
      <c r="G880">
        <v>7</v>
      </c>
      <c r="H880">
        <v>28795</v>
      </c>
      <c r="I880" t="s">
        <v>132</v>
      </c>
      <c r="J880">
        <v>5</v>
      </c>
      <c r="K880">
        <v>360</v>
      </c>
    </row>
    <row r="881" spans="1:11" hidden="1" x14ac:dyDescent="0.25">
      <c r="A881" t="s">
        <v>939</v>
      </c>
      <c r="B881" t="s">
        <v>975</v>
      </c>
      <c r="C881" t="s">
        <v>926</v>
      </c>
      <c r="E881">
        <v>200</v>
      </c>
      <c r="F881">
        <v>150</v>
      </c>
      <c r="G881">
        <v>6.7</v>
      </c>
      <c r="H881">
        <v>28795</v>
      </c>
      <c r="I881" t="s">
        <v>132</v>
      </c>
      <c r="J881">
        <v>5</v>
      </c>
      <c r="K881">
        <v>360</v>
      </c>
    </row>
    <row r="882" spans="1:11" hidden="1" x14ac:dyDescent="0.25">
      <c r="A882" t="s">
        <v>1007</v>
      </c>
      <c r="B882" t="s">
        <v>1050</v>
      </c>
      <c r="C882" t="s">
        <v>1051</v>
      </c>
      <c r="D882">
        <v>1490</v>
      </c>
      <c r="E882">
        <v>170</v>
      </c>
      <c r="F882">
        <v>200</v>
      </c>
      <c r="G882">
        <v>9.3000000000000007</v>
      </c>
      <c r="H882">
        <v>28700</v>
      </c>
      <c r="I882" t="s">
        <v>18</v>
      </c>
      <c r="J882">
        <v>5</v>
      </c>
      <c r="K882">
        <v>275</v>
      </c>
    </row>
    <row r="883" spans="1:11" hidden="1" x14ac:dyDescent="0.25">
      <c r="A883" t="s">
        <v>351</v>
      </c>
      <c r="B883" t="s">
        <v>356</v>
      </c>
      <c r="C883" t="s">
        <v>355</v>
      </c>
      <c r="D883">
        <v>1984</v>
      </c>
      <c r="E883">
        <v>190</v>
      </c>
      <c r="F883">
        <v>209</v>
      </c>
      <c r="G883">
        <v>8.5</v>
      </c>
      <c r="H883">
        <v>28505</v>
      </c>
      <c r="I883" t="s">
        <v>241</v>
      </c>
      <c r="J883">
        <v>7</v>
      </c>
      <c r="K883">
        <v>300</v>
      </c>
    </row>
    <row r="884" spans="1:11" hidden="1" x14ac:dyDescent="0.25">
      <c r="A884" t="s">
        <v>52</v>
      </c>
      <c r="B884" t="s">
        <v>551</v>
      </c>
      <c r="C884" t="s">
        <v>552</v>
      </c>
      <c r="D884">
        <v>1997</v>
      </c>
      <c r="F884">
        <v>180</v>
      </c>
      <c r="G884">
        <v>9.4</v>
      </c>
      <c r="H884">
        <v>28500</v>
      </c>
      <c r="I884" t="s">
        <v>65</v>
      </c>
      <c r="J884">
        <v>5</v>
      </c>
      <c r="K884">
        <v>207</v>
      </c>
    </row>
    <row r="885" spans="1:11" hidden="1" x14ac:dyDescent="0.25">
      <c r="A885" t="s">
        <v>218</v>
      </c>
      <c r="B885" t="s">
        <v>1094</v>
      </c>
      <c r="C885" t="s">
        <v>1085</v>
      </c>
      <c r="D885">
        <v>1591</v>
      </c>
      <c r="E885">
        <v>180</v>
      </c>
      <c r="F885">
        <v>220</v>
      </c>
      <c r="G885">
        <v>7.8</v>
      </c>
      <c r="H885">
        <v>28500</v>
      </c>
      <c r="I885" t="s">
        <v>18</v>
      </c>
      <c r="J885">
        <v>5</v>
      </c>
      <c r="K885">
        <v>264</v>
      </c>
    </row>
    <row r="886" spans="1:11" hidden="1" x14ac:dyDescent="0.25">
      <c r="A886" t="s">
        <v>218</v>
      </c>
      <c r="B886" t="s">
        <v>1099</v>
      </c>
      <c r="C886" t="s">
        <v>1085</v>
      </c>
      <c r="D886">
        <v>1591</v>
      </c>
      <c r="E886">
        <v>175</v>
      </c>
      <c r="F886">
        <v>210</v>
      </c>
      <c r="G886">
        <v>7.5</v>
      </c>
      <c r="H886">
        <v>28500</v>
      </c>
      <c r="I886" t="s">
        <v>18</v>
      </c>
      <c r="J886">
        <v>5</v>
      </c>
      <c r="K886">
        <v>264</v>
      </c>
    </row>
    <row r="887" spans="1:11" hidden="1" x14ac:dyDescent="0.25">
      <c r="A887" t="s">
        <v>939</v>
      </c>
      <c r="B887" t="s">
        <v>984</v>
      </c>
      <c r="C887" t="s">
        <v>945</v>
      </c>
      <c r="D887">
        <v>1500</v>
      </c>
      <c r="E887">
        <v>170</v>
      </c>
      <c r="F887">
        <v>200</v>
      </c>
      <c r="G887">
        <v>8.9</v>
      </c>
      <c r="H887">
        <v>28400</v>
      </c>
      <c r="I887" t="s">
        <v>18</v>
      </c>
      <c r="J887">
        <v>5</v>
      </c>
      <c r="K887">
        <v>275</v>
      </c>
    </row>
    <row r="888" spans="1:11" hidden="1" x14ac:dyDescent="0.25">
      <c r="A888" t="s">
        <v>886</v>
      </c>
      <c r="B888" t="s">
        <v>897</v>
      </c>
      <c r="C888" t="s">
        <v>898</v>
      </c>
      <c r="D888">
        <v>1300</v>
      </c>
      <c r="E888">
        <v>177</v>
      </c>
      <c r="F888">
        <v>200</v>
      </c>
      <c r="G888">
        <v>8.6999999999999993</v>
      </c>
      <c r="H888">
        <v>28345</v>
      </c>
      <c r="I888" t="s">
        <v>18</v>
      </c>
      <c r="J888">
        <v>5</v>
      </c>
      <c r="K888">
        <v>285</v>
      </c>
    </row>
    <row r="889" spans="1:11" hidden="1" x14ac:dyDescent="0.25">
      <c r="A889" t="s">
        <v>52</v>
      </c>
      <c r="B889" t="s">
        <v>327</v>
      </c>
      <c r="C889" t="s">
        <v>328</v>
      </c>
      <c r="F889">
        <v>140</v>
      </c>
      <c r="G889">
        <v>14</v>
      </c>
      <c r="H889">
        <v>28000</v>
      </c>
      <c r="I889" t="s">
        <v>50</v>
      </c>
      <c r="J889">
        <v>15</v>
      </c>
      <c r="K889">
        <v>356</v>
      </c>
    </row>
    <row r="890" spans="1:11" hidden="1" x14ac:dyDescent="0.25">
      <c r="A890" t="s">
        <v>52</v>
      </c>
      <c r="B890" t="s">
        <v>604</v>
      </c>
      <c r="C890" t="s">
        <v>605</v>
      </c>
      <c r="D890">
        <v>2488</v>
      </c>
      <c r="F890">
        <v>155</v>
      </c>
      <c r="G890">
        <v>12.5</v>
      </c>
      <c r="H890">
        <v>28000</v>
      </c>
      <c r="I890" t="s">
        <v>50</v>
      </c>
      <c r="J890">
        <v>8</v>
      </c>
      <c r="K890">
        <v>356</v>
      </c>
    </row>
    <row r="891" spans="1:11" hidden="1" x14ac:dyDescent="0.25">
      <c r="A891" t="s">
        <v>52</v>
      </c>
      <c r="B891" t="s">
        <v>644</v>
      </c>
      <c r="C891" t="s">
        <v>326</v>
      </c>
      <c r="D891">
        <v>1998</v>
      </c>
      <c r="F891">
        <v>140</v>
      </c>
      <c r="G891">
        <v>14</v>
      </c>
      <c r="H891">
        <v>28000</v>
      </c>
      <c r="I891" t="s">
        <v>18</v>
      </c>
      <c r="J891">
        <v>7</v>
      </c>
      <c r="K891">
        <v>188</v>
      </c>
    </row>
    <row r="892" spans="1:11" hidden="1" x14ac:dyDescent="0.25">
      <c r="A892" t="s">
        <v>351</v>
      </c>
      <c r="B892" t="s">
        <v>372</v>
      </c>
      <c r="C892" t="s">
        <v>358</v>
      </c>
      <c r="D892">
        <v>1498</v>
      </c>
      <c r="E892">
        <v>126</v>
      </c>
      <c r="F892">
        <v>185</v>
      </c>
      <c r="G892">
        <v>10.5</v>
      </c>
      <c r="H892">
        <v>28000</v>
      </c>
      <c r="I892" t="s">
        <v>215</v>
      </c>
      <c r="J892">
        <v>7</v>
      </c>
      <c r="K892">
        <v>250</v>
      </c>
    </row>
    <row r="893" spans="1:11" hidden="1" x14ac:dyDescent="0.25">
      <c r="A893" t="s">
        <v>52</v>
      </c>
      <c r="B893" t="s">
        <v>685</v>
      </c>
      <c r="C893" t="s">
        <v>346</v>
      </c>
      <c r="D893">
        <v>3275</v>
      </c>
      <c r="F893">
        <v>175</v>
      </c>
      <c r="G893">
        <v>10</v>
      </c>
      <c r="H893">
        <v>28000</v>
      </c>
      <c r="I893" t="s">
        <v>18</v>
      </c>
      <c r="J893">
        <v>5</v>
      </c>
      <c r="K893">
        <v>290</v>
      </c>
    </row>
    <row r="894" spans="1:11" hidden="1" x14ac:dyDescent="0.25">
      <c r="A894" t="s">
        <v>52</v>
      </c>
      <c r="B894" t="s">
        <v>621</v>
      </c>
      <c r="C894" t="s">
        <v>622</v>
      </c>
      <c r="D894">
        <v>2664</v>
      </c>
      <c r="F894">
        <v>160</v>
      </c>
      <c r="G894">
        <v>12.9</v>
      </c>
      <c r="H894">
        <v>28000</v>
      </c>
      <c r="I894" t="s">
        <v>50</v>
      </c>
      <c r="J894">
        <v>5</v>
      </c>
      <c r="K894">
        <v>278</v>
      </c>
    </row>
    <row r="895" spans="1:11" hidden="1" x14ac:dyDescent="0.25">
      <c r="A895" t="s">
        <v>52</v>
      </c>
      <c r="B895" t="s">
        <v>60</v>
      </c>
      <c r="C895" t="s">
        <v>45</v>
      </c>
      <c r="D895">
        <v>2488</v>
      </c>
      <c r="E895">
        <v>201</v>
      </c>
      <c r="F895">
        <v>200</v>
      </c>
      <c r="G895">
        <v>7.5</v>
      </c>
      <c r="H895">
        <v>28000</v>
      </c>
      <c r="I895" t="s">
        <v>18</v>
      </c>
      <c r="J895">
        <v>5</v>
      </c>
      <c r="K895">
        <v>270</v>
      </c>
    </row>
    <row r="896" spans="1:11" hidden="1" x14ac:dyDescent="0.25">
      <c r="A896" t="s">
        <v>218</v>
      </c>
      <c r="B896" t="s">
        <v>232</v>
      </c>
      <c r="C896" t="s">
        <v>45</v>
      </c>
      <c r="D896">
        <v>2480</v>
      </c>
      <c r="E896">
        <v>187</v>
      </c>
      <c r="F896">
        <v>200</v>
      </c>
      <c r="G896">
        <v>8.1999999999999993</v>
      </c>
      <c r="H896">
        <v>28000</v>
      </c>
      <c r="I896" t="s">
        <v>18</v>
      </c>
      <c r="J896">
        <v>5</v>
      </c>
      <c r="K896">
        <v>250</v>
      </c>
    </row>
    <row r="897" spans="1:11" hidden="1" x14ac:dyDescent="0.25">
      <c r="A897" t="s">
        <v>1226</v>
      </c>
      <c r="B897" t="s">
        <v>1258</v>
      </c>
      <c r="C897" t="s">
        <v>1240</v>
      </c>
      <c r="D897">
        <v>2400</v>
      </c>
      <c r="E897">
        <v>201</v>
      </c>
      <c r="F897">
        <v>200</v>
      </c>
      <c r="G897">
        <v>6.6</v>
      </c>
      <c r="H897">
        <v>28000</v>
      </c>
      <c r="I897" t="s">
        <v>18</v>
      </c>
      <c r="J897">
        <v>5</v>
      </c>
      <c r="K897">
        <v>180</v>
      </c>
    </row>
    <row r="898" spans="1:11" hidden="1" x14ac:dyDescent="0.25">
      <c r="A898" t="s">
        <v>351</v>
      </c>
      <c r="B898" t="s">
        <v>383</v>
      </c>
      <c r="C898" t="s">
        <v>355</v>
      </c>
      <c r="D898">
        <v>1984</v>
      </c>
      <c r="E898">
        <v>204</v>
      </c>
      <c r="F898">
        <v>238</v>
      </c>
      <c r="G898">
        <v>6.7</v>
      </c>
      <c r="H898">
        <v>28000</v>
      </c>
      <c r="I898" t="s">
        <v>18</v>
      </c>
      <c r="J898">
        <v>5</v>
      </c>
      <c r="K898">
        <v>320</v>
      </c>
    </row>
    <row r="899" spans="1:11" hidden="1" x14ac:dyDescent="0.25">
      <c r="A899" t="s">
        <v>351</v>
      </c>
      <c r="B899" t="s">
        <v>473</v>
      </c>
      <c r="C899" t="s">
        <v>464</v>
      </c>
      <c r="D899">
        <v>1968</v>
      </c>
      <c r="E899">
        <v>167</v>
      </c>
      <c r="F899">
        <v>220</v>
      </c>
      <c r="G899">
        <v>8</v>
      </c>
      <c r="H899">
        <v>28000</v>
      </c>
      <c r="I899" t="s">
        <v>50</v>
      </c>
      <c r="J899">
        <v>5</v>
      </c>
      <c r="K899">
        <v>350</v>
      </c>
    </row>
    <row r="900" spans="1:11" hidden="1" x14ac:dyDescent="0.25">
      <c r="A900" t="s">
        <v>1086</v>
      </c>
      <c r="B900" t="s">
        <v>1265</v>
      </c>
      <c r="C900" t="s">
        <v>1240</v>
      </c>
      <c r="D900">
        <v>1598</v>
      </c>
      <c r="E900">
        <v>130</v>
      </c>
      <c r="F900">
        <v>200</v>
      </c>
      <c r="G900">
        <v>8</v>
      </c>
      <c r="H900">
        <v>28000</v>
      </c>
      <c r="I900" t="s">
        <v>18</v>
      </c>
      <c r="J900">
        <v>5</v>
      </c>
      <c r="K900">
        <v>230</v>
      </c>
    </row>
    <row r="901" spans="1:11" hidden="1" x14ac:dyDescent="0.25">
      <c r="A901" t="s">
        <v>1086</v>
      </c>
      <c r="B901" t="s">
        <v>1275</v>
      </c>
      <c r="C901" t="s">
        <v>1240</v>
      </c>
      <c r="D901">
        <v>1598</v>
      </c>
      <c r="E901">
        <v>208</v>
      </c>
      <c r="F901">
        <v>230</v>
      </c>
      <c r="G901">
        <v>6.5</v>
      </c>
      <c r="H901">
        <v>28000</v>
      </c>
      <c r="I901" t="s">
        <v>18</v>
      </c>
      <c r="J901">
        <v>5</v>
      </c>
      <c r="K901">
        <v>300</v>
      </c>
    </row>
    <row r="902" spans="1:11" hidden="1" x14ac:dyDescent="0.25">
      <c r="A902" t="s">
        <v>218</v>
      </c>
      <c r="B902" t="s">
        <v>1084</v>
      </c>
      <c r="C902" t="s">
        <v>1085</v>
      </c>
      <c r="D902">
        <v>1591</v>
      </c>
      <c r="E902">
        <v>175</v>
      </c>
      <c r="F902">
        <v>210</v>
      </c>
      <c r="G902">
        <v>7.5</v>
      </c>
      <c r="H902">
        <v>28000</v>
      </c>
      <c r="I902" t="s">
        <v>18</v>
      </c>
      <c r="J902">
        <v>5</v>
      </c>
      <c r="K902">
        <v>264</v>
      </c>
    </row>
    <row r="903" spans="1:11" hidden="1" x14ac:dyDescent="0.25">
      <c r="A903" t="s">
        <v>218</v>
      </c>
      <c r="B903" t="s">
        <v>1098</v>
      </c>
      <c r="C903" t="s">
        <v>1085</v>
      </c>
      <c r="D903">
        <v>1591</v>
      </c>
      <c r="E903">
        <v>201</v>
      </c>
      <c r="F903">
        <v>200</v>
      </c>
      <c r="G903">
        <v>6.5</v>
      </c>
      <c r="H903">
        <v>28000</v>
      </c>
      <c r="I903" t="s">
        <v>18</v>
      </c>
      <c r="J903">
        <v>5</v>
      </c>
      <c r="K903">
        <v>264</v>
      </c>
    </row>
    <row r="904" spans="1:11" x14ac:dyDescent="0.25">
      <c r="A904" t="s">
        <v>27</v>
      </c>
      <c r="B904" t="s">
        <v>193</v>
      </c>
      <c r="C904" t="s">
        <v>188</v>
      </c>
      <c r="D904">
        <v>1499</v>
      </c>
      <c r="E904">
        <v>109</v>
      </c>
      <c r="F904">
        <v>200</v>
      </c>
      <c r="G904">
        <v>10.9</v>
      </c>
      <c r="H904">
        <v>28000</v>
      </c>
      <c r="I904" t="s">
        <v>18</v>
      </c>
      <c r="J904">
        <v>5</v>
      </c>
      <c r="K904">
        <v>200</v>
      </c>
    </row>
    <row r="905" spans="1:11" x14ac:dyDescent="0.25">
      <c r="A905" t="s">
        <v>27</v>
      </c>
      <c r="B905" t="s">
        <v>211</v>
      </c>
      <c r="C905" t="s">
        <v>188</v>
      </c>
      <c r="D905">
        <v>1496</v>
      </c>
      <c r="E905">
        <v>95</v>
      </c>
      <c r="F905">
        <v>185</v>
      </c>
      <c r="G905">
        <v>12.2</v>
      </c>
      <c r="H905">
        <v>28000</v>
      </c>
      <c r="I905" t="s">
        <v>50</v>
      </c>
      <c r="J905">
        <v>5</v>
      </c>
      <c r="K905">
        <v>270</v>
      </c>
    </row>
    <row r="906" spans="1:11" hidden="1" x14ac:dyDescent="0.25">
      <c r="A906" t="s">
        <v>351</v>
      </c>
      <c r="B906" t="s">
        <v>468</v>
      </c>
      <c r="C906" t="s">
        <v>469</v>
      </c>
      <c r="D906">
        <v>1395</v>
      </c>
      <c r="E906">
        <v>170</v>
      </c>
      <c r="F906">
        <v>210</v>
      </c>
      <c r="G906">
        <v>8.6</v>
      </c>
      <c r="H906">
        <v>28000</v>
      </c>
      <c r="I906" t="s">
        <v>65</v>
      </c>
      <c r="J906">
        <v>5</v>
      </c>
      <c r="K906">
        <v>250</v>
      </c>
    </row>
    <row r="907" spans="1:11" hidden="1" x14ac:dyDescent="0.25">
      <c r="A907" t="s">
        <v>1086</v>
      </c>
      <c r="B907" t="s">
        <v>1287</v>
      </c>
      <c r="C907" t="s">
        <v>1240</v>
      </c>
      <c r="D907">
        <v>1199</v>
      </c>
      <c r="E907">
        <v>130</v>
      </c>
      <c r="F907">
        <v>200</v>
      </c>
      <c r="G907">
        <v>9.5</v>
      </c>
      <c r="H907">
        <v>28000</v>
      </c>
      <c r="I907" t="s">
        <v>18</v>
      </c>
      <c r="J907">
        <v>5</v>
      </c>
      <c r="K907">
        <v>230</v>
      </c>
    </row>
    <row r="908" spans="1:11" hidden="1" x14ac:dyDescent="0.25">
      <c r="A908" t="s">
        <v>1086</v>
      </c>
      <c r="B908" t="s">
        <v>1308</v>
      </c>
      <c r="C908" t="s">
        <v>1240</v>
      </c>
      <c r="D908">
        <v>1199</v>
      </c>
      <c r="E908">
        <v>130</v>
      </c>
      <c r="F908">
        <v>200</v>
      </c>
      <c r="G908">
        <v>9</v>
      </c>
      <c r="H908">
        <v>28000</v>
      </c>
      <c r="I908" t="s">
        <v>18</v>
      </c>
      <c r="J908">
        <v>5</v>
      </c>
      <c r="K908">
        <v>230</v>
      </c>
    </row>
    <row r="909" spans="1:11" hidden="1" x14ac:dyDescent="0.25">
      <c r="A909" t="s">
        <v>19</v>
      </c>
      <c r="B909" t="s">
        <v>1359</v>
      </c>
      <c r="C909" t="s">
        <v>1360</v>
      </c>
      <c r="D909">
        <v>1000</v>
      </c>
      <c r="E909">
        <v>123</v>
      </c>
      <c r="F909">
        <v>191</v>
      </c>
      <c r="G909">
        <v>9.6</v>
      </c>
      <c r="H909">
        <v>28000</v>
      </c>
      <c r="I909" t="s">
        <v>18</v>
      </c>
      <c r="J909">
        <v>5</v>
      </c>
      <c r="K909">
        <v>200</v>
      </c>
    </row>
    <row r="910" spans="1:11" hidden="1" x14ac:dyDescent="0.25">
      <c r="A910" t="s">
        <v>351</v>
      </c>
      <c r="B910" t="s">
        <v>450</v>
      </c>
      <c r="C910" t="s">
        <v>451</v>
      </c>
      <c r="E910">
        <v>215</v>
      </c>
      <c r="F910">
        <v>210</v>
      </c>
      <c r="G910">
        <v>8.6999999999999993</v>
      </c>
      <c r="H910">
        <v>28000</v>
      </c>
      <c r="I910" t="s">
        <v>18</v>
      </c>
      <c r="J910">
        <v>5</v>
      </c>
      <c r="K910">
        <v>250</v>
      </c>
    </row>
    <row r="911" spans="1:11" hidden="1" x14ac:dyDescent="0.25">
      <c r="A911" t="s">
        <v>910</v>
      </c>
      <c r="B911" t="s">
        <v>1538</v>
      </c>
      <c r="C911" t="s">
        <v>588</v>
      </c>
      <c r="D911">
        <v>3000</v>
      </c>
      <c r="E911">
        <v>200</v>
      </c>
      <c r="F911">
        <v>185</v>
      </c>
      <c r="G911">
        <v>9.5</v>
      </c>
      <c r="H911">
        <v>27500</v>
      </c>
      <c r="I911" t="s">
        <v>18</v>
      </c>
      <c r="J911">
        <v>7</v>
      </c>
      <c r="K911">
        <v>265</v>
      </c>
    </row>
    <row r="912" spans="1:11" hidden="1" x14ac:dyDescent="0.25">
      <c r="A912" t="s">
        <v>1398</v>
      </c>
      <c r="B912" t="s">
        <v>1423</v>
      </c>
      <c r="C912" t="s">
        <v>1424</v>
      </c>
      <c r="D912">
        <v>2400</v>
      </c>
      <c r="E912">
        <v>165</v>
      </c>
      <c r="F912">
        <v>190</v>
      </c>
      <c r="G912">
        <v>11</v>
      </c>
      <c r="H912">
        <v>27500</v>
      </c>
      <c r="I912" t="s">
        <v>18</v>
      </c>
      <c r="J912">
        <v>7</v>
      </c>
      <c r="K912">
        <v>217</v>
      </c>
    </row>
    <row r="913" spans="1:11" hidden="1" x14ac:dyDescent="0.25">
      <c r="A913" t="s">
        <v>910</v>
      </c>
      <c r="B913" t="s">
        <v>1528</v>
      </c>
      <c r="C913" t="s">
        <v>588</v>
      </c>
      <c r="D913">
        <v>3000</v>
      </c>
      <c r="E913">
        <v>205</v>
      </c>
      <c r="F913">
        <v>220</v>
      </c>
      <c r="G913">
        <v>8</v>
      </c>
      <c r="H913">
        <v>27500</v>
      </c>
      <c r="I913" t="s">
        <v>18</v>
      </c>
      <c r="J913">
        <v>5</v>
      </c>
      <c r="K913">
        <v>270</v>
      </c>
    </row>
    <row r="914" spans="1:11" hidden="1" x14ac:dyDescent="0.25">
      <c r="A914" t="s">
        <v>910</v>
      </c>
      <c r="B914" t="s">
        <v>1556</v>
      </c>
      <c r="C914" t="s">
        <v>567</v>
      </c>
      <c r="D914">
        <v>2500</v>
      </c>
      <c r="E914">
        <v>170</v>
      </c>
      <c r="F914">
        <v>215</v>
      </c>
      <c r="G914">
        <v>8.5</v>
      </c>
      <c r="H914">
        <v>27500</v>
      </c>
      <c r="I914" t="s">
        <v>18</v>
      </c>
      <c r="J914">
        <v>5</v>
      </c>
      <c r="K914">
        <v>230</v>
      </c>
    </row>
    <row r="915" spans="1:11" hidden="1" x14ac:dyDescent="0.25">
      <c r="A915" t="s">
        <v>910</v>
      </c>
      <c r="B915" t="s">
        <v>1520</v>
      </c>
      <c r="C915" t="s">
        <v>1521</v>
      </c>
      <c r="D915">
        <v>2300</v>
      </c>
      <c r="E915">
        <v>210</v>
      </c>
      <c r="F915">
        <v>215</v>
      </c>
      <c r="G915">
        <v>8.1999999999999993</v>
      </c>
      <c r="H915">
        <v>27500</v>
      </c>
      <c r="I915" t="s">
        <v>18</v>
      </c>
      <c r="J915">
        <v>5</v>
      </c>
      <c r="K915">
        <v>280</v>
      </c>
    </row>
    <row r="916" spans="1:11" hidden="1" x14ac:dyDescent="0.25">
      <c r="A916" t="s">
        <v>910</v>
      </c>
      <c r="B916" t="s">
        <v>1564</v>
      </c>
      <c r="C916" t="s">
        <v>1565</v>
      </c>
      <c r="D916">
        <v>1588</v>
      </c>
      <c r="E916">
        <v>135</v>
      </c>
      <c r="F916">
        <v>190</v>
      </c>
      <c r="G916">
        <v>8</v>
      </c>
      <c r="H916">
        <v>27500</v>
      </c>
      <c r="I916" t="s">
        <v>18</v>
      </c>
      <c r="J916">
        <v>4</v>
      </c>
      <c r="K916">
        <v>210</v>
      </c>
    </row>
    <row r="917" spans="1:11" hidden="1" x14ac:dyDescent="0.25">
      <c r="A917" t="s">
        <v>1398</v>
      </c>
      <c r="B917" t="s">
        <v>1475</v>
      </c>
      <c r="C917" t="s">
        <v>1476</v>
      </c>
      <c r="D917">
        <v>1500</v>
      </c>
      <c r="E917">
        <v>147</v>
      </c>
      <c r="F917">
        <v>200</v>
      </c>
      <c r="G917">
        <v>9.5</v>
      </c>
      <c r="H917">
        <v>27500</v>
      </c>
      <c r="I917" t="s">
        <v>18</v>
      </c>
      <c r="J917">
        <v>4</v>
      </c>
      <c r="K917">
        <v>210</v>
      </c>
    </row>
    <row r="918" spans="1:11" hidden="1" x14ac:dyDescent="0.25">
      <c r="A918" t="s">
        <v>910</v>
      </c>
      <c r="B918" t="s">
        <v>1595</v>
      </c>
      <c r="C918" t="s">
        <v>1594</v>
      </c>
      <c r="D918">
        <v>1308</v>
      </c>
      <c r="E918">
        <v>135</v>
      </c>
      <c r="F918">
        <v>175</v>
      </c>
      <c r="G918">
        <v>12</v>
      </c>
      <c r="H918">
        <v>27500</v>
      </c>
      <c r="I918" t="s">
        <v>18</v>
      </c>
      <c r="J918">
        <v>4</v>
      </c>
      <c r="K918">
        <v>180</v>
      </c>
    </row>
    <row r="919" spans="1:11" hidden="1" x14ac:dyDescent="0.25">
      <c r="A919" t="s">
        <v>910</v>
      </c>
      <c r="B919" t="s">
        <v>1545</v>
      </c>
      <c r="C919" t="s">
        <v>1546</v>
      </c>
      <c r="D919">
        <v>3000</v>
      </c>
      <c r="E919">
        <v>130</v>
      </c>
      <c r="F919">
        <v>120</v>
      </c>
      <c r="G919">
        <v>15</v>
      </c>
      <c r="H919">
        <v>27500</v>
      </c>
      <c r="I919" t="s">
        <v>50</v>
      </c>
      <c r="J919">
        <v>2</v>
      </c>
      <c r="K919">
        <v>300</v>
      </c>
    </row>
    <row r="920" spans="1:11" hidden="1" x14ac:dyDescent="0.25">
      <c r="A920" t="s">
        <v>939</v>
      </c>
      <c r="B920" t="s">
        <v>960</v>
      </c>
      <c r="C920" t="s">
        <v>926</v>
      </c>
      <c r="E920">
        <v>200</v>
      </c>
      <c r="F920">
        <v>150</v>
      </c>
      <c r="G920">
        <v>6.5</v>
      </c>
      <c r="H920">
        <v>27495</v>
      </c>
      <c r="I920" t="s">
        <v>132</v>
      </c>
      <c r="J920">
        <v>5</v>
      </c>
      <c r="K920">
        <v>360</v>
      </c>
    </row>
    <row r="921" spans="1:11" hidden="1" x14ac:dyDescent="0.25">
      <c r="A921" t="s">
        <v>43</v>
      </c>
      <c r="B921" t="s">
        <v>247</v>
      </c>
      <c r="C921" t="s">
        <v>45</v>
      </c>
      <c r="D921">
        <v>2494</v>
      </c>
      <c r="E921">
        <v>203</v>
      </c>
      <c r="F921">
        <v>200</v>
      </c>
      <c r="G921">
        <v>8.1</v>
      </c>
      <c r="H921">
        <v>27100</v>
      </c>
      <c r="I921" t="s">
        <v>241</v>
      </c>
      <c r="J921">
        <v>5</v>
      </c>
      <c r="K921">
        <v>400</v>
      </c>
    </row>
    <row r="922" spans="1:11" hidden="1" x14ac:dyDescent="0.25">
      <c r="A922" t="s">
        <v>43</v>
      </c>
      <c r="B922" t="s">
        <v>244</v>
      </c>
      <c r="C922" t="s">
        <v>54</v>
      </c>
      <c r="D922">
        <v>3500</v>
      </c>
      <c r="E922">
        <v>301</v>
      </c>
      <c r="F922">
        <v>220</v>
      </c>
      <c r="G922">
        <v>6</v>
      </c>
      <c r="H922">
        <v>27000</v>
      </c>
      <c r="I922" t="s">
        <v>241</v>
      </c>
      <c r="J922">
        <v>5</v>
      </c>
      <c r="K922">
        <v>250</v>
      </c>
    </row>
    <row r="923" spans="1:11" hidden="1" x14ac:dyDescent="0.25">
      <c r="A923" t="s">
        <v>910</v>
      </c>
      <c r="B923" t="s">
        <v>1504</v>
      </c>
      <c r="C923" t="s">
        <v>588</v>
      </c>
      <c r="D923">
        <v>3000</v>
      </c>
      <c r="E923">
        <v>200</v>
      </c>
      <c r="F923">
        <v>190</v>
      </c>
      <c r="G923">
        <v>9</v>
      </c>
      <c r="H923">
        <v>27000</v>
      </c>
      <c r="I923" t="s">
        <v>18</v>
      </c>
      <c r="J923">
        <v>5</v>
      </c>
      <c r="K923">
        <v>270</v>
      </c>
    </row>
    <row r="924" spans="1:11" hidden="1" x14ac:dyDescent="0.25">
      <c r="A924" t="s">
        <v>218</v>
      </c>
      <c r="B924" t="s">
        <v>219</v>
      </c>
      <c r="C924" t="s">
        <v>45</v>
      </c>
      <c r="D924">
        <v>2480</v>
      </c>
      <c r="E924">
        <v>187</v>
      </c>
      <c r="F924">
        <v>200</v>
      </c>
      <c r="G924">
        <v>8</v>
      </c>
      <c r="H924">
        <v>27000</v>
      </c>
      <c r="I924" t="s">
        <v>18</v>
      </c>
      <c r="J924">
        <v>5</v>
      </c>
      <c r="K924">
        <v>250</v>
      </c>
    </row>
    <row r="925" spans="1:11" hidden="1" x14ac:dyDescent="0.25">
      <c r="A925" t="s">
        <v>1398</v>
      </c>
      <c r="B925" t="s">
        <v>1429</v>
      </c>
      <c r="C925" t="s">
        <v>1408</v>
      </c>
      <c r="D925">
        <v>2000</v>
      </c>
      <c r="E925">
        <v>148</v>
      </c>
      <c r="F925">
        <v>190</v>
      </c>
      <c r="G925">
        <v>10</v>
      </c>
      <c r="H925">
        <v>27000</v>
      </c>
      <c r="I925" t="s">
        <v>18</v>
      </c>
      <c r="J925">
        <v>5</v>
      </c>
      <c r="K925">
        <v>197</v>
      </c>
    </row>
    <row r="926" spans="1:11" x14ac:dyDescent="0.25">
      <c r="A926" t="s">
        <v>27</v>
      </c>
      <c r="B926" t="s">
        <v>197</v>
      </c>
      <c r="C926" t="s">
        <v>188</v>
      </c>
      <c r="D926">
        <v>1496</v>
      </c>
      <c r="E926">
        <v>95</v>
      </c>
      <c r="F926">
        <v>185</v>
      </c>
      <c r="G926">
        <v>12.2</v>
      </c>
      <c r="H926">
        <v>27000</v>
      </c>
      <c r="I926" t="s">
        <v>50</v>
      </c>
      <c r="J926">
        <v>5</v>
      </c>
      <c r="K926">
        <v>270</v>
      </c>
    </row>
    <row r="927" spans="1:11" hidden="1" x14ac:dyDescent="0.25">
      <c r="A927" t="s">
        <v>1086</v>
      </c>
      <c r="B927" t="s">
        <v>1278</v>
      </c>
      <c r="C927" t="s">
        <v>1240</v>
      </c>
      <c r="D927">
        <v>1199</v>
      </c>
      <c r="E927">
        <v>130</v>
      </c>
      <c r="F927">
        <v>200</v>
      </c>
      <c r="G927">
        <v>9.6999999999999993</v>
      </c>
      <c r="H927">
        <v>27000</v>
      </c>
      <c r="I927" t="s">
        <v>18</v>
      </c>
      <c r="J927">
        <v>5</v>
      </c>
      <c r="K927">
        <v>230</v>
      </c>
    </row>
    <row r="928" spans="1:11" hidden="1" x14ac:dyDescent="0.25">
      <c r="A928" t="s">
        <v>351</v>
      </c>
      <c r="B928" t="s">
        <v>457</v>
      </c>
      <c r="C928" t="s">
        <v>435</v>
      </c>
      <c r="E928">
        <v>132</v>
      </c>
      <c r="F928">
        <v>200</v>
      </c>
      <c r="G928">
        <v>8.5</v>
      </c>
      <c r="H928">
        <v>27000</v>
      </c>
      <c r="I928" t="s">
        <v>18</v>
      </c>
      <c r="J928">
        <v>5</v>
      </c>
      <c r="K928">
        <v>250</v>
      </c>
    </row>
    <row r="929" spans="1:11" hidden="1" x14ac:dyDescent="0.25">
      <c r="A929" t="s">
        <v>351</v>
      </c>
      <c r="B929" t="s">
        <v>494</v>
      </c>
      <c r="C929" t="s">
        <v>495</v>
      </c>
      <c r="E929">
        <v>148</v>
      </c>
      <c r="F929">
        <v>200</v>
      </c>
      <c r="G929">
        <v>8.5</v>
      </c>
      <c r="H929">
        <v>27000</v>
      </c>
      <c r="I929" t="s">
        <v>18</v>
      </c>
      <c r="J929">
        <v>5</v>
      </c>
      <c r="K929">
        <v>250</v>
      </c>
    </row>
    <row r="930" spans="1:11" hidden="1" x14ac:dyDescent="0.25">
      <c r="A930" t="s">
        <v>43</v>
      </c>
      <c r="B930" t="s">
        <v>46</v>
      </c>
      <c r="C930" t="s">
        <v>47</v>
      </c>
      <c r="D930">
        <v>1998</v>
      </c>
      <c r="E930">
        <v>205</v>
      </c>
      <c r="F930">
        <v>226</v>
      </c>
      <c r="G930">
        <v>6.4</v>
      </c>
      <c r="H930">
        <v>27000</v>
      </c>
      <c r="I930" t="s">
        <v>18</v>
      </c>
      <c r="J930">
        <v>4</v>
      </c>
      <c r="K930">
        <v>205</v>
      </c>
    </row>
    <row r="931" spans="1:11" hidden="1" x14ac:dyDescent="0.25">
      <c r="A931" t="s">
        <v>52</v>
      </c>
      <c r="B931" t="s">
        <v>610</v>
      </c>
      <c r="C931" t="s">
        <v>605</v>
      </c>
      <c r="D931">
        <v>2488</v>
      </c>
      <c r="F931">
        <v>145</v>
      </c>
      <c r="G931">
        <v>14.8</v>
      </c>
      <c r="H931">
        <v>27000</v>
      </c>
      <c r="I931" t="s">
        <v>50</v>
      </c>
      <c r="J931">
        <v>3</v>
      </c>
      <c r="K931">
        <v>350</v>
      </c>
    </row>
    <row r="932" spans="1:11" hidden="1" x14ac:dyDescent="0.25">
      <c r="A932" t="s">
        <v>43</v>
      </c>
      <c r="B932" t="s">
        <v>246</v>
      </c>
      <c r="C932" t="s">
        <v>45</v>
      </c>
      <c r="D932">
        <v>1798</v>
      </c>
      <c r="E932">
        <v>121</v>
      </c>
      <c r="F932">
        <v>180</v>
      </c>
      <c r="G932">
        <v>10.5</v>
      </c>
      <c r="H932">
        <v>26700</v>
      </c>
      <c r="I932" t="s">
        <v>65</v>
      </c>
      <c r="J932">
        <v>5</v>
      </c>
      <c r="K932">
        <v>142</v>
      </c>
    </row>
    <row r="933" spans="1:11" hidden="1" x14ac:dyDescent="0.25">
      <c r="A933" t="s">
        <v>939</v>
      </c>
      <c r="B933" t="s">
        <v>949</v>
      </c>
      <c r="C933" t="s">
        <v>945</v>
      </c>
      <c r="D933">
        <v>1500</v>
      </c>
      <c r="E933">
        <v>170</v>
      </c>
      <c r="F933">
        <v>200</v>
      </c>
      <c r="G933">
        <v>8.9</v>
      </c>
      <c r="H933">
        <v>26600</v>
      </c>
      <c r="I933" t="s">
        <v>18</v>
      </c>
      <c r="J933">
        <v>5</v>
      </c>
      <c r="K933">
        <v>275</v>
      </c>
    </row>
    <row r="934" spans="1:11" hidden="1" x14ac:dyDescent="0.25">
      <c r="A934" t="s">
        <v>218</v>
      </c>
      <c r="B934" t="s">
        <v>239</v>
      </c>
      <c r="C934" t="s">
        <v>45</v>
      </c>
      <c r="D934">
        <v>2480</v>
      </c>
      <c r="E934">
        <v>187</v>
      </c>
      <c r="F934">
        <v>200</v>
      </c>
      <c r="G934">
        <v>8.5</v>
      </c>
      <c r="H934">
        <v>26500</v>
      </c>
      <c r="I934" t="s">
        <v>18</v>
      </c>
      <c r="J934">
        <v>5</v>
      </c>
      <c r="K934">
        <v>250</v>
      </c>
    </row>
    <row r="935" spans="1:11" hidden="1" x14ac:dyDescent="0.25">
      <c r="A935" t="s">
        <v>1398</v>
      </c>
      <c r="B935" t="s">
        <v>1452</v>
      </c>
      <c r="C935" t="s">
        <v>1408</v>
      </c>
      <c r="D935">
        <v>2000</v>
      </c>
      <c r="E935">
        <v>148</v>
      </c>
      <c r="F935">
        <v>190</v>
      </c>
      <c r="G935">
        <v>10</v>
      </c>
      <c r="H935">
        <v>26500</v>
      </c>
      <c r="I935" t="s">
        <v>18</v>
      </c>
      <c r="J935">
        <v>5</v>
      </c>
      <c r="K935">
        <v>197</v>
      </c>
    </row>
    <row r="936" spans="1:11" hidden="1" x14ac:dyDescent="0.25">
      <c r="A936" t="s">
        <v>910</v>
      </c>
      <c r="B936" t="s">
        <v>1569</v>
      </c>
      <c r="C936" t="s">
        <v>326</v>
      </c>
      <c r="D936">
        <v>1998</v>
      </c>
      <c r="E936">
        <v>135</v>
      </c>
      <c r="F936">
        <v>200</v>
      </c>
      <c r="G936">
        <v>9</v>
      </c>
      <c r="H936">
        <v>26500</v>
      </c>
      <c r="I936" t="s">
        <v>18</v>
      </c>
      <c r="J936">
        <v>5</v>
      </c>
      <c r="K936">
        <v>170</v>
      </c>
    </row>
    <row r="937" spans="1:11" hidden="1" x14ac:dyDescent="0.25">
      <c r="A937" t="s">
        <v>1398</v>
      </c>
      <c r="B937" t="s">
        <v>1405</v>
      </c>
      <c r="C937" t="s">
        <v>1406</v>
      </c>
      <c r="D937">
        <v>1500</v>
      </c>
      <c r="E937">
        <v>152</v>
      </c>
      <c r="F937">
        <v>180</v>
      </c>
      <c r="G937">
        <v>9.8000000000000007</v>
      </c>
      <c r="H937">
        <v>26500</v>
      </c>
      <c r="I937" t="s">
        <v>18</v>
      </c>
      <c r="J937">
        <v>5</v>
      </c>
      <c r="K937">
        <v>250</v>
      </c>
    </row>
    <row r="938" spans="1:11" hidden="1" x14ac:dyDescent="0.25">
      <c r="A938" t="s">
        <v>43</v>
      </c>
      <c r="B938" t="s">
        <v>250</v>
      </c>
      <c r="C938" t="s">
        <v>45</v>
      </c>
      <c r="D938">
        <v>2694</v>
      </c>
      <c r="E938">
        <v>159</v>
      </c>
      <c r="F938">
        <v>180</v>
      </c>
      <c r="G938">
        <v>9.5</v>
      </c>
      <c r="H938">
        <v>26400</v>
      </c>
      <c r="I938" t="s">
        <v>18</v>
      </c>
      <c r="J938">
        <v>5</v>
      </c>
      <c r="K938">
        <v>400</v>
      </c>
    </row>
    <row r="939" spans="1:11" hidden="1" x14ac:dyDescent="0.25">
      <c r="A939" t="s">
        <v>939</v>
      </c>
      <c r="B939" t="s">
        <v>946</v>
      </c>
      <c r="C939" t="s">
        <v>789</v>
      </c>
      <c r="D939">
        <v>2000</v>
      </c>
      <c r="E939">
        <v>275</v>
      </c>
      <c r="F939">
        <v>240</v>
      </c>
      <c r="G939">
        <v>5.4</v>
      </c>
      <c r="H939">
        <v>26400</v>
      </c>
      <c r="I939" t="s">
        <v>18</v>
      </c>
      <c r="J939">
        <v>4</v>
      </c>
      <c r="K939">
        <v>400</v>
      </c>
    </row>
    <row r="940" spans="1:11" hidden="1" x14ac:dyDescent="0.25">
      <c r="A940" t="s">
        <v>224</v>
      </c>
      <c r="B940" t="s">
        <v>243</v>
      </c>
      <c r="C940" t="s">
        <v>45</v>
      </c>
      <c r="D940">
        <v>1498</v>
      </c>
      <c r="E940">
        <v>180</v>
      </c>
      <c r="F940">
        <v>220</v>
      </c>
      <c r="G940">
        <v>6.8</v>
      </c>
      <c r="H940">
        <v>26350</v>
      </c>
      <c r="I940" t="s">
        <v>18</v>
      </c>
      <c r="J940">
        <v>5</v>
      </c>
      <c r="K940">
        <v>300</v>
      </c>
    </row>
    <row r="941" spans="1:11" hidden="1" x14ac:dyDescent="0.25">
      <c r="A941" t="s">
        <v>910</v>
      </c>
      <c r="B941" t="s">
        <v>1485</v>
      </c>
      <c r="C941" t="s">
        <v>1486</v>
      </c>
      <c r="D941">
        <v>2500</v>
      </c>
      <c r="E941">
        <v>186</v>
      </c>
      <c r="F941">
        <v>210</v>
      </c>
      <c r="G941">
        <v>8.3000000000000007</v>
      </c>
      <c r="H941">
        <v>26000</v>
      </c>
      <c r="I941" t="s">
        <v>18</v>
      </c>
      <c r="J941">
        <v>5</v>
      </c>
      <c r="K941">
        <v>252</v>
      </c>
    </row>
    <row r="942" spans="1:11" hidden="1" x14ac:dyDescent="0.25">
      <c r="A942" t="s">
        <v>218</v>
      </c>
      <c r="B942" t="s">
        <v>228</v>
      </c>
      <c r="C942" t="s">
        <v>45</v>
      </c>
      <c r="D942">
        <v>2480</v>
      </c>
      <c r="E942">
        <v>187</v>
      </c>
      <c r="F942">
        <v>200</v>
      </c>
      <c r="G942">
        <v>8</v>
      </c>
      <c r="H942">
        <v>26000</v>
      </c>
      <c r="I942" t="s">
        <v>18</v>
      </c>
      <c r="J942">
        <v>5</v>
      </c>
      <c r="K942">
        <v>250</v>
      </c>
    </row>
    <row r="943" spans="1:11" x14ac:dyDescent="0.25">
      <c r="A943" t="s">
        <v>27</v>
      </c>
      <c r="B943" t="s">
        <v>198</v>
      </c>
      <c r="C943" t="s">
        <v>45</v>
      </c>
      <c r="D943">
        <v>1598</v>
      </c>
      <c r="E943">
        <v>102</v>
      </c>
      <c r="F943">
        <v>195</v>
      </c>
      <c r="G943">
        <v>11.2</v>
      </c>
      <c r="H943">
        <v>26000</v>
      </c>
      <c r="I943" t="s">
        <v>18</v>
      </c>
      <c r="J943">
        <v>5</v>
      </c>
      <c r="K943">
        <v>200</v>
      </c>
    </row>
    <row r="944" spans="1:11" hidden="1" x14ac:dyDescent="0.25">
      <c r="A944" t="s">
        <v>52</v>
      </c>
      <c r="B944" t="s">
        <v>510</v>
      </c>
      <c r="C944" t="s">
        <v>511</v>
      </c>
      <c r="D944">
        <v>1332</v>
      </c>
      <c r="F944">
        <v>195</v>
      </c>
      <c r="G944">
        <v>8.9</v>
      </c>
      <c r="H944">
        <v>26000</v>
      </c>
      <c r="I944" t="s">
        <v>18</v>
      </c>
      <c r="J944">
        <v>5</v>
      </c>
      <c r="K944">
        <v>260</v>
      </c>
    </row>
    <row r="945" spans="1:11" hidden="1" x14ac:dyDescent="0.25">
      <c r="A945" t="s">
        <v>351</v>
      </c>
      <c r="B945" t="s">
        <v>460</v>
      </c>
      <c r="C945" t="s">
        <v>461</v>
      </c>
      <c r="E945">
        <v>180</v>
      </c>
      <c r="F945">
        <v>220</v>
      </c>
      <c r="G945">
        <v>8.5</v>
      </c>
      <c r="H945">
        <v>26000</v>
      </c>
      <c r="I945" t="s">
        <v>18</v>
      </c>
      <c r="J945">
        <v>5</v>
      </c>
      <c r="K945">
        <v>280</v>
      </c>
    </row>
    <row r="946" spans="1:11" hidden="1" x14ac:dyDescent="0.25">
      <c r="A946" t="s">
        <v>19</v>
      </c>
      <c r="B946" t="s">
        <v>1339</v>
      </c>
      <c r="C946" t="s">
        <v>1340</v>
      </c>
      <c r="E946">
        <v>220</v>
      </c>
      <c r="F946">
        <v>180</v>
      </c>
      <c r="H946">
        <v>26000</v>
      </c>
      <c r="I946" t="s">
        <v>241</v>
      </c>
      <c r="J946">
        <v>5</v>
      </c>
      <c r="K946">
        <v>315</v>
      </c>
    </row>
    <row r="947" spans="1:11" hidden="1" x14ac:dyDescent="0.25">
      <c r="A947" t="s">
        <v>939</v>
      </c>
      <c r="B947" t="s">
        <v>980</v>
      </c>
      <c r="C947" t="s">
        <v>945</v>
      </c>
      <c r="D947">
        <v>1500</v>
      </c>
      <c r="E947">
        <v>160</v>
      </c>
      <c r="F947">
        <v>210</v>
      </c>
      <c r="G947">
        <v>8.5</v>
      </c>
      <c r="H947">
        <v>25800</v>
      </c>
      <c r="I947" t="s">
        <v>18</v>
      </c>
      <c r="J947">
        <v>5</v>
      </c>
      <c r="K947">
        <v>250</v>
      </c>
    </row>
    <row r="948" spans="1:11" hidden="1" x14ac:dyDescent="0.25">
      <c r="A948" t="s">
        <v>820</v>
      </c>
      <c r="B948" t="s">
        <v>860</v>
      </c>
      <c r="C948" t="s">
        <v>859</v>
      </c>
      <c r="D948">
        <v>1956</v>
      </c>
      <c r="E948">
        <v>168</v>
      </c>
      <c r="F948">
        <v>180</v>
      </c>
      <c r="G948">
        <v>11</v>
      </c>
      <c r="H948">
        <v>25500</v>
      </c>
      <c r="I948" t="s">
        <v>50</v>
      </c>
      <c r="J948">
        <v>7</v>
      </c>
      <c r="K948">
        <v>350</v>
      </c>
    </row>
    <row r="949" spans="1:11" hidden="1" x14ac:dyDescent="0.25">
      <c r="A949" t="s">
        <v>910</v>
      </c>
      <c r="B949" t="s">
        <v>1490</v>
      </c>
      <c r="C949" t="s">
        <v>1486</v>
      </c>
      <c r="D949">
        <v>2500</v>
      </c>
      <c r="E949">
        <v>186</v>
      </c>
      <c r="F949">
        <v>204</v>
      </c>
      <c r="G949">
        <v>8.6999999999999993</v>
      </c>
      <c r="H949">
        <v>25500</v>
      </c>
      <c r="I949" t="s">
        <v>18</v>
      </c>
      <c r="J949">
        <v>5</v>
      </c>
      <c r="K949">
        <v>252</v>
      </c>
    </row>
    <row r="950" spans="1:11" hidden="1" x14ac:dyDescent="0.25">
      <c r="A950" t="s">
        <v>218</v>
      </c>
      <c r="B950" t="s">
        <v>1142</v>
      </c>
      <c r="C950" t="s">
        <v>1085</v>
      </c>
      <c r="D950">
        <v>1591</v>
      </c>
      <c r="E950">
        <v>201</v>
      </c>
      <c r="F950">
        <v>200</v>
      </c>
      <c r="G950">
        <v>6.5</v>
      </c>
      <c r="H950">
        <v>25500</v>
      </c>
      <c r="I950" t="s">
        <v>18</v>
      </c>
      <c r="J950">
        <v>5</v>
      </c>
      <c r="K950">
        <v>264</v>
      </c>
    </row>
    <row r="951" spans="1:11" hidden="1" x14ac:dyDescent="0.25">
      <c r="A951" t="s">
        <v>43</v>
      </c>
      <c r="B951" t="s">
        <v>294</v>
      </c>
      <c r="C951" t="s">
        <v>295</v>
      </c>
      <c r="D951">
        <v>1987</v>
      </c>
      <c r="E951">
        <v>169</v>
      </c>
      <c r="F951">
        <v>190</v>
      </c>
      <c r="G951">
        <v>8.1999999999999993</v>
      </c>
      <c r="H951">
        <v>25390</v>
      </c>
      <c r="I951" t="s">
        <v>18</v>
      </c>
      <c r="J951">
        <v>5</v>
      </c>
      <c r="K951">
        <v>250</v>
      </c>
    </row>
    <row r="952" spans="1:11" hidden="1" x14ac:dyDescent="0.25">
      <c r="A952" t="s">
        <v>52</v>
      </c>
      <c r="B952" t="s">
        <v>680</v>
      </c>
      <c r="C952" t="s">
        <v>681</v>
      </c>
      <c r="D952">
        <v>2663</v>
      </c>
      <c r="F952">
        <v>160</v>
      </c>
      <c r="G952">
        <v>12.5</v>
      </c>
      <c r="H952">
        <v>25000</v>
      </c>
      <c r="I952" t="s">
        <v>50</v>
      </c>
      <c r="J952">
        <v>7</v>
      </c>
      <c r="K952">
        <v>260</v>
      </c>
    </row>
    <row r="953" spans="1:11" hidden="1" x14ac:dyDescent="0.25">
      <c r="A953" t="s">
        <v>351</v>
      </c>
      <c r="B953" t="s">
        <v>481</v>
      </c>
      <c r="C953" t="s">
        <v>464</v>
      </c>
      <c r="D953">
        <v>1968</v>
      </c>
      <c r="E953">
        <v>136</v>
      </c>
      <c r="F953">
        <v>180</v>
      </c>
      <c r="G953">
        <v>12</v>
      </c>
      <c r="H953">
        <v>25000</v>
      </c>
      <c r="I953" t="s">
        <v>50</v>
      </c>
      <c r="J953">
        <v>7</v>
      </c>
      <c r="K953">
        <v>250</v>
      </c>
    </row>
    <row r="954" spans="1:11" hidden="1" x14ac:dyDescent="0.25">
      <c r="A954" t="s">
        <v>52</v>
      </c>
      <c r="B954" t="s">
        <v>609</v>
      </c>
      <c r="C954" t="s">
        <v>530</v>
      </c>
      <c r="D954">
        <v>1461</v>
      </c>
      <c r="F954">
        <v>140</v>
      </c>
      <c r="G954">
        <v>15</v>
      </c>
      <c r="H954">
        <v>25000</v>
      </c>
      <c r="I954" t="s">
        <v>50</v>
      </c>
      <c r="J954">
        <v>7</v>
      </c>
      <c r="K954">
        <v>200</v>
      </c>
    </row>
    <row r="955" spans="1:11" hidden="1" x14ac:dyDescent="0.25">
      <c r="A955" t="s">
        <v>910</v>
      </c>
      <c r="B955" t="s">
        <v>1541</v>
      </c>
      <c r="C955" t="s">
        <v>588</v>
      </c>
      <c r="D955">
        <v>3000</v>
      </c>
      <c r="E955">
        <v>200</v>
      </c>
      <c r="F955">
        <v>200</v>
      </c>
      <c r="G955">
        <v>9</v>
      </c>
      <c r="H955">
        <v>25000</v>
      </c>
      <c r="I955" t="s">
        <v>18</v>
      </c>
      <c r="J955">
        <v>5</v>
      </c>
      <c r="K955">
        <v>265</v>
      </c>
    </row>
    <row r="956" spans="1:11" hidden="1" x14ac:dyDescent="0.25">
      <c r="A956" t="s">
        <v>269</v>
      </c>
      <c r="B956" t="s">
        <v>335</v>
      </c>
      <c r="C956" t="s">
        <v>332</v>
      </c>
      <c r="D956">
        <v>2500</v>
      </c>
      <c r="E956">
        <v>191</v>
      </c>
      <c r="F956">
        <v>240</v>
      </c>
      <c r="G956">
        <v>8</v>
      </c>
      <c r="H956">
        <v>25000</v>
      </c>
      <c r="I956" t="s">
        <v>241</v>
      </c>
      <c r="J956">
        <v>5</v>
      </c>
      <c r="K956">
        <v>250</v>
      </c>
    </row>
    <row r="957" spans="1:11" hidden="1" x14ac:dyDescent="0.25">
      <c r="A957" t="s">
        <v>910</v>
      </c>
      <c r="B957" t="s">
        <v>1524</v>
      </c>
      <c r="C957" t="s">
        <v>1486</v>
      </c>
      <c r="D957">
        <v>2500</v>
      </c>
      <c r="E957">
        <v>192</v>
      </c>
      <c r="F957">
        <v>210</v>
      </c>
      <c r="G957">
        <v>8.5</v>
      </c>
      <c r="H957">
        <v>25000</v>
      </c>
      <c r="I957" t="s">
        <v>18</v>
      </c>
      <c r="J957">
        <v>5</v>
      </c>
      <c r="K957">
        <v>252</v>
      </c>
    </row>
    <row r="958" spans="1:11" hidden="1" x14ac:dyDescent="0.25">
      <c r="A958" t="s">
        <v>52</v>
      </c>
      <c r="B958" t="s">
        <v>57</v>
      </c>
      <c r="C958" t="s">
        <v>45</v>
      </c>
      <c r="D958">
        <v>2488</v>
      </c>
      <c r="E958">
        <v>188</v>
      </c>
      <c r="F958">
        <v>225</v>
      </c>
      <c r="G958">
        <v>7.3</v>
      </c>
      <c r="H958">
        <v>25000</v>
      </c>
      <c r="I958" t="s">
        <v>18</v>
      </c>
      <c r="J958">
        <v>5</v>
      </c>
      <c r="K958">
        <v>380</v>
      </c>
    </row>
    <row r="959" spans="1:11" hidden="1" x14ac:dyDescent="0.25">
      <c r="A959" t="s">
        <v>52</v>
      </c>
      <c r="B959" t="s">
        <v>639</v>
      </c>
      <c r="C959" t="s">
        <v>592</v>
      </c>
      <c r="D959">
        <v>2389</v>
      </c>
      <c r="F959">
        <v>160</v>
      </c>
      <c r="G959">
        <v>10.6</v>
      </c>
      <c r="H959">
        <v>25000</v>
      </c>
      <c r="I959" t="s">
        <v>18</v>
      </c>
      <c r="J959">
        <v>5</v>
      </c>
      <c r="K959">
        <v>206</v>
      </c>
    </row>
    <row r="960" spans="1:11" hidden="1" x14ac:dyDescent="0.25">
      <c r="A960" t="s">
        <v>910</v>
      </c>
      <c r="B960" t="s">
        <v>1501</v>
      </c>
      <c r="C960" t="s">
        <v>1484</v>
      </c>
      <c r="D960">
        <v>2000</v>
      </c>
      <c r="E960">
        <v>158</v>
      </c>
      <c r="F960">
        <v>190</v>
      </c>
      <c r="G960">
        <v>9.6</v>
      </c>
      <c r="H960">
        <v>25000</v>
      </c>
      <c r="I960" t="s">
        <v>18</v>
      </c>
      <c r="J960">
        <v>5</v>
      </c>
      <c r="K960">
        <v>202</v>
      </c>
    </row>
    <row r="961" spans="1:11" hidden="1" x14ac:dyDescent="0.25">
      <c r="A961" t="s">
        <v>43</v>
      </c>
      <c r="B961" t="s">
        <v>266</v>
      </c>
      <c r="C961" t="s">
        <v>45</v>
      </c>
      <c r="D961">
        <v>1986</v>
      </c>
      <c r="E961">
        <v>140</v>
      </c>
      <c r="F961">
        <v>200</v>
      </c>
      <c r="G961">
        <v>8.5</v>
      </c>
      <c r="H961">
        <v>25000</v>
      </c>
      <c r="I961" t="s">
        <v>18</v>
      </c>
      <c r="J961">
        <v>5</v>
      </c>
      <c r="K961">
        <v>250</v>
      </c>
    </row>
    <row r="962" spans="1:11" hidden="1" x14ac:dyDescent="0.25">
      <c r="A962" t="s">
        <v>351</v>
      </c>
      <c r="B962" t="s">
        <v>354</v>
      </c>
      <c r="C962" t="s">
        <v>355</v>
      </c>
      <c r="D962">
        <v>1984</v>
      </c>
      <c r="E962">
        <v>215</v>
      </c>
      <c r="F962">
        <v>210</v>
      </c>
      <c r="G962">
        <v>7.8</v>
      </c>
      <c r="H962">
        <v>25000</v>
      </c>
      <c r="I962" t="s">
        <v>18</v>
      </c>
      <c r="J962">
        <v>5</v>
      </c>
      <c r="K962">
        <v>250</v>
      </c>
    </row>
    <row r="963" spans="1:11" hidden="1" x14ac:dyDescent="0.25">
      <c r="A963" t="s">
        <v>351</v>
      </c>
      <c r="B963" t="s">
        <v>453</v>
      </c>
      <c r="C963" t="s">
        <v>454</v>
      </c>
      <c r="D963">
        <v>1781</v>
      </c>
      <c r="E963">
        <v>98</v>
      </c>
      <c r="F963">
        <v>165</v>
      </c>
      <c r="G963">
        <v>12</v>
      </c>
      <c r="H963">
        <v>25000</v>
      </c>
      <c r="I963" t="s">
        <v>18</v>
      </c>
      <c r="J963">
        <v>5</v>
      </c>
      <c r="K963">
        <v>170</v>
      </c>
    </row>
    <row r="964" spans="1:11" hidden="1" x14ac:dyDescent="0.25">
      <c r="A964" t="s">
        <v>218</v>
      </c>
      <c r="B964" t="s">
        <v>1108</v>
      </c>
      <c r="C964" t="s">
        <v>1085</v>
      </c>
      <c r="D964">
        <v>1591</v>
      </c>
      <c r="E964">
        <v>201</v>
      </c>
      <c r="F964">
        <v>200</v>
      </c>
      <c r="G964">
        <v>6.5</v>
      </c>
      <c r="H964">
        <v>25000</v>
      </c>
      <c r="I964" t="s">
        <v>18</v>
      </c>
      <c r="J964">
        <v>5</v>
      </c>
      <c r="K964">
        <v>264</v>
      </c>
    </row>
    <row r="965" spans="1:11" hidden="1" x14ac:dyDescent="0.25">
      <c r="A965" t="s">
        <v>1086</v>
      </c>
      <c r="B965" t="s">
        <v>1288</v>
      </c>
      <c r="C965" t="s">
        <v>1240</v>
      </c>
      <c r="D965">
        <v>1560</v>
      </c>
      <c r="E965">
        <v>100</v>
      </c>
      <c r="F965">
        <v>170</v>
      </c>
      <c r="G965">
        <v>12</v>
      </c>
      <c r="H965">
        <v>25000</v>
      </c>
      <c r="I965" t="s">
        <v>50</v>
      </c>
      <c r="J965">
        <v>5</v>
      </c>
      <c r="K965">
        <v>260</v>
      </c>
    </row>
    <row r="966" spans="1:11" hidden="1" x14ac:dyDescent="0.25">
      <c r="A966" t="s">
        <v>939</v>
      </c>
      <c r="B966" t="s">
        <v>944</v>
      </c>
      <c r="C966" t="s">
        <v>945</v>
      </c>
      <c r="D966">
        <v>1500</v>
      </c>
      <c r="E966">
        <v>160</v>
      </c>
      <c r="F966">
        <v>210</v>
      </c>
      <c r="G966">
        <v>8</v>
      </c>
      <c r="H966">
        <v>25000</v>
      </c>
      <c r="I966" t="s">
        <v>18</v>
      </c>
      <c r="J966">
        <v>5</v>
      </c>
      <c r="K966">
        <v>250</v>
      </c>
    </row>
    <row r="967" spans="1:11" hidden="1" x14ac:dyDescent="0.25">
      <c r="A967" t="s">
        <v>43</v>
      </c>
      <c r="B967" t="s">
        <v>305</v>
      </c>
      <c r="C967" t="s">
        <v>306</v>
      </c>
      <c r="D967">
        <v>1490</v>
      </c>
      <c r="E967">
        <v>114</v>
      </c>
      <c r="F967">
        <v>170</v>
      </c>
      <c r="G967">
        <v>11</v>
      </c>
      <c r="H967">
        <v>25000</v>
      </c>
      <c r="I967" t="s">
        <v>18</v>
      </c>
      <c r="J967">
        <v>5</v>
      </c>
      <c r="K967">
        <v>130</v>
      </c>
    </row>
    <row r="968" spans="1:11" hidden="1" x14ac:dyDescent="0.25">
      <c r="A968" t="s">
        <v>1086</v>
      </c>
      <c r="B968" t="s">
        <v>1263</v>
      </c>
      <c r="C968" t="s">
        <v>1240</v>
      </c>
      <c r="D968">
        <v>1199</v>
      </c>
      <c r="E968">
        <v>100</v>
      </c>
      <c r="F968">
        <v>190</v>
      </c>
      <c r="G968">
        <v>9</v>
      </c>
      <c r="H968">
        <v>25000</v>
      </c>
      <c r="I968" t="s">
        <v>18</v>
      </c>
      <c r="J968">
        <v>5</v>
      </c>
      <c r="K968">
        <v>205</v>
      </c>
    </row>
    <row r="969" spans="1:11" hidden="1" x14ac:dyDescent="0.25">
      <c r="A969" t="s">
        <v>1086</v>
      </c>
      <c r="B969" t="s">
        <v>1277</v>
      </c>
      <c r="C969" t="s">
        <v>1240</v>
      </c>
      <c r="D969">
        <v>1199</v>
      </c>
      <c r="E969">
        <v>130</v>
      </c>
      <c r="F969">
        <v>205</v>
      </c>
      <c r="G969">
        <v>9.3000000000000007</v>
      </c>
      <c r="H969">
        <v>25000</v>
      </c>
      <c r="I969" t="s">
        <v>18</v>
      </c>
      <c r="J969">
        <v>5</v>
      </c>
      <c r="K969">
        <v>230</v>
      </c>
    </row>
    <row r="970" spans="1:11" hidden="1" x14ac:dyDescent="0.25">
      <c r="A970" t="s">
        <v>1086</v>
      </c>
      <c r="B970" t="s">
        <v>1304</v>
      </c>
      <c r="C970" t="s">
        <v>1240</v>
      </c>
      <c r="D970">
        <v>1199</v>
      </c>
      <c r="E970">
        <v>130</v>
      </c>
      <c r="F970">
        <v>200</v>
      </c>
      <c r="G970">
        <v>9.3000000000000007</v>
      </c>
      <c r="H970">
        <v>25000</v>
      </c>
      <c r="I970" t="s">
        <v>18</v>
      </c>
      <c r="J970">
        <v>5</v>
      </c>
      <c r="K970">
        <v>230</v>
      </c>
    </row>
    <row r="971" spans="1:11" hidden="1" x14ac:dyDescent="0.25">
      <c r="A971" t="s">
        <v>52</v>
      </c>
      <c r="B971" t="s">
        <v>528</v>
      </c>
      <c r="C971" t="s">
        <v>507</v>
      </c>
      <c r="D971">
        <v>999</v>
      </c>
      <c r="F971">
        <v>180</v>
      </c>
      <c r="G971">
        <v>10.4</v>
      </c>
      <c r="H971">
        <v>25000</v>
      </c>
      <c r="I971" t="s">
        <v>18</v>
      </c>
      <c r="J971">
        <v>5</v>
      </c>
      <c r="K971">
        <v>180</v>
      </c>
    </row>
    <row r="972" spans="1:11" hidden="1" x14ac:dyDescent="0.25">
      <c r="A972" t="s">
        <v>351</v>
      </c>
      <c r="B972" t="s">
        <v>386</v>
      </c>
      <c r="C972" t="s">
        <v>387</v>
      </c>
      <c r="E972">
        <v>122</v>
      </c>
      <c r="F972">
        <v>200</v>
      </c>
      <c r="G972">
        <v>10.199999999999999</v>
      </c>
      <c r="H972">
        <v>25000</v>
      </c>
      <c r="I972" t="s">
        <v>18</v>
      </c>
      <c r="J972">
        <v>5</v>
      </c>
      <c r="K972">
        <v>250</v>
      </c>
    </row>
    <row r="973" spans="1:11" hidden="1" x14ac:dyDescent="0.25">
      <c r="A973" t="s">
        <v>351</v>
      </c>
      <c r="B973" t="s">
        <v>441</v>
      </c>
      <c r="C973" t="s">
        <v>132</v>
      </c>
      <c r="F973">
        <v>160</v>
      </c>
      <c r="G973">
        <v>8</v>
      </c>
      <c r="H973">
        <v>25000</v>
      </c>
      <c r="I973" t="s">
        <v>132</v>
      </c>
      <c r="J973">
        <v>5</v>
      </c>
      <c r="K973">
        <v>220</v>
      </c>
    </row>
    <row r="974" spans="1:11" hidden="1" x14ac:dyDescent="0.25">
      <c r="A974" t="s">
        <v>820</v>
      </c>
      <c r="B974" t="s">
        <v>857</v>
      </c>
      <c r="C974" t="s">
        <v>824</v>
      </c>
      <c r="E974">
        <v>143</v>
      </c>
      <c r="F974">
        <v>140</v>
      </c>
      <c r="G974">
        <v>9</v>
      </c>
      <c r="H974">
        <v>25000</v>
      </c>
      <c r="I974" t="s">
        <v>132</v>
      </c>
      <c r="J974">
        <v>5</v>
      </c>
      <c r="K974">
        <v>250</v>
      </c>
    </row>
    <row r="975" spans="1:11" hidden="1" x14ac:dyDescent="0.25">
      <c r="A975" t="s">
        <v>19</v>
      </c>
      <c r="B975" t="s">
        <v>1317</v>
      </c>
      <c r="C975" t="s">
        <v>1318</v>
      </c>
      <c r="E975">
        <v>210</v>
      </c>
      <c r="F975">
        <v>220</v>
      </c>
      <c r="G975">
        <v>6.5</v>
      </c>
      <c r="H975">
        <v>25000</v>
      </c>
      <c r="I975" t="s">
        <v>18</v>
      </c>
      <c r="J975">
        <v>5</v>
      </c>
      <c r="K975">
        <v>275</v>
      </c>
    </row>
    <row r="976" spans="1:11" hidden="1" x14ac:dyDescent="0.25">
      <c r="A976" t="s">
        <v>19</v>
      </c>
      <c r="B976" t="s">
        <v>1388</v>
      </c>
      <c r="C976" t="s">
        <v>1389</v>
      </c>
      <c r="E976">
        <v>191</v>
      </c>
      <c r="F976">
        <v>180</v>
      </c>
      <c r="G976">
        <v>7.8</v>
      </c>
      <c r="H976">
        <v>25000</v>
      </c>
      <c r="I976" t="s">
        <v>65</v>
      </c>
      <c r="J976">
        <v>5</v>
      </c>
      <c r="K976">
        <v>210</v>
      </c>
    </row>
    <row r="977" spans="1:11" hidden="1" x14ac:dyDescent="0.25">
      <c r="A977" t="s">
        <v>351</v>
      </c>
      <c r="B977" t="s">
        <v>409</v>
      </c>
      <c r="C977" t="s">
        <v>410</v>
      </c>
      <c r="D977">
        <v>2861</v>
      </c>
      <c r="E977">
        <v>190</v>
      </c>
      <c r="F977">
        <v>235</v>
      </c>
      <c r="G977">
        <v>6.4</v>
      </c>
      <c r="H977">
        <v>25000</v>
      </c>
      <c r="I977" t="s">
        <v>18</v>
      </c>
      <c r="J977">
        <v>4</v>
      </c>
      <c r="K977">
        <v>245</v>
      </c>
    </row>
    <row r="978" spans="1:11" hidden="1" x14ac:dyDescent="0.25">
      <c r="A978" t="s">
        <v>269</v>
      </c>
      <c r="B978" t="s">
        <v>340</v>
      </c>
      <c r="C978" t="s">
        <v>326</v>
      </c>
      <c r="D978">
        <v>2000</v>
      </c>
      <c r="E978">
        <v>275</v>
      </c>
      <c r="F978">
        <v>220</v>
      </c>
      <c r="G978">
        <v>6</v>
      </c>
      <c r="H978">
        <v>25000</v>
      </c>
      <c r="I978" t="s">
        <v>18</v>
      </c>
      <c r="J978">
        <v>4</v>
      </c>
      <c r="K978">
        <v>264</v>
      </c>
    </row>
    <row r="979" spans="1:11" hidden="1" x14ac:dyDescent="0.25">
      <c r="A979" t="s">
        <v>351</v>
      </c>
      <c r="B979" t="s">
        <v>491</v>
      </c>
      <c r="C979" t="s">
        <v>437</v>
      </c>
      <c r="D979">
        <v>1984</v>
      </c>
      <c r="E979">
        <v>174</v>
      </c>
      <c r="F979">
        <v>205</v>
      </c>
      <c r="G979">
        <v>7</v>
      </c>
      <c r="H979">
        <v>25000</v>
      </c>
      <c r="I979" t="s">
        <v>18</v>
      </c>
      <c r="J979">
        <v>4</v>
      </c>
      <c r="K979">
        <v>250</v>
      </c>
    </row>
    <row r="980" spans="1:11" hidden="1" x14ac:dyDescent="0.25">
      <c r="A980" t="s">
        <v>52</v>
      </c>
      <c r="B980" t="s">
        <v>632</v>
      </c>
      <c r="C980" t="s">
        <v>337</v>
      </c>
      <c r="D980">
        <v>1595</v>
      </c>
      <c r="F980">
        <v>175</v>
      </c>
      <c r="G980">
        <v>10.199999999999999</v>
      </c>
      <c r="H980">
        <v>25000</v>
      </c>
      <c r="I980" t="s">
        <v>18</v>
      </c>
      <c r="J980">
        <v>4</v>
      </c>
      <c r="K980">
        <v>135</v>
      </c>
    </row>
    <row r="981" spans="1:11" hidden="1" x14ac:dyDescent="0.25">
      <c r="A981" t="s">
        <v>52</v>
      </c>
      <c r="B981" t="s">
        <v>674</v>
      </c>
      <c r="C981" t="s">
        <v>337</v>
      </c>
      <c r="D981">
        <v>1595</v>
      </c>
      <c r="F981">
        <v>175</v>
      </c>
      <c r="G981">
        <v>10.199999999999999</v>
      </c>
      <c r="H981">
        <v>25000</v>
      </c>
      <c r="I981" t="s">
        <v>18</v>
      </c>
      <c r="J981">
        <v>4</v>
      </c>
      <c r="K981">
        <v>135</v>
      </c>
    </row>
    <row r="982" spans="1:11" hidden="1" x14ac:dyDescent="0.25">
      <c r="A982" t="s">
        <v>351</v>
      </c>
      <c r="B982" t="s">
        <v>419</v>
      </c>
      <c r="C982" t="s">
        <v>420</v>
      </c>
      <c r="D982">
        <v>1192</v>
      </c>
      <c r="E982">
        <v>47</v>
      </c>
      <c r="F982">
        <v>138</v>
      </c>
      <c r="G982">
        <v>23</v>
      </c>
      <c r="H982">
        <v>25000</v>
      </c>
      <c r="I982" t="s">
        <v>18</v>
      </c>
      <c r="J982">
        <v>2</v>
      </c>
      <c r="K982">
        <v>106</v>
      </c>
    </row>
    <row r="983" spans="1:11" hidden="1" x14ac:dyDescent="0.25">
      <c r="A983" t="s">
        <v>52</v>
      </c>
      <c r="B983" t="s">
        <v>550</v>
      </c>
      <c r="C983" t="s">
        <v>326</v>
      </c>
      <c r="D983">
        <v>1997</v>
      </c>
      <c r="F983">
        <v>190</v>
      </c>
      <c r="G983">
        <v>9.8000000000000007</v>
      </c>
      <c r="H983">
        <v>24960</v>
      </c>
      <c r="I983" t="s">
        <v>18</v>
      </c>
      <c r="J983">
        <v>5</v>
      </c>
      <c r="K983">
        <v>199</v>
      </c>
    </row>
    <row r="984" spans="1:11" hidden="1" x14ac:dyDescent="0.25">
      <c r="A984" t="s">
        <v>1398</v>
      </c>
      <c r="B984" t="s">
        <v>1407</v>
      </c>
      <c r="C984" t="s">
        <v>1408</v>
      </c>
      <c r="D984">
        <v>2000</v>
      </c>
      <c r="E984">
        <v>148</v>
      </c>
      <c r="F984">
        <v>190</v>
      </c>
      <c r="G984">
        <v>10</v>
      </c>
      <c r="H984">
        <v>24500</v>
      </c>
      <c r="I984" t="s">
        <v>18</v>
      </c>
      <c r="J984">
        <v>5</v>
      </c>
      <c r="K984">
        <v>197</v>
      </c>
    </row>
    <row r="985" spans="1:11" hidden="1" x14ac:dyDescent="0.25">
      <c r="A985" t="s">
        <v>1398</v>
      </c>
      <c r="B985" t="s">
        <v>1416</v>
      </c>
      <c r="C985" t="s">
        <v>330</v>
      </c>
      <c r="E985">
        <v>66</v>
      </c>
      <c r="F985">
        <v>130</v>
      </c>
      <c r="G985">
        <v>15</v>
      </c>
      <c r="H985">
        <v>24500</v>
      </c>
      <c r="I985" t="s">
        <v>132</v>
      </c>
      <c r="J985">
        <v>4</v>
      </c>
      <c r="K985">
        <v>196</v>
      </c>
    </row>
    <row r="986" spans="1:11" hidden="1" x14ac:dyDescent="0.25">
      <c r="A986" t="s">
        <v>43</v>
      </c>
      <c r="B986" t="s">
        <v>261</v>
      </c>
      <c r="C986" t="s">
        <v>45</v>
      </c>
      <c r="D986">
        <v>1986</v>
      </c>
      <c r="E986">
        <v>144</v>
      </c>
      <c r="F986">
        <v>200</v>
      </c>
      <c r="G986">
        <v>10.199999999999999</v>
      </c>
      <c r="H986">
        <v>24400</v>
      </c>
      <c r="I986" t="s">
        <v>241</v>
      </c>
      <c r="J986">
        <v>5</v>
      </c>
      <c r="K986">
        <v>250</v>
      </c>
    </row>
    <row r="987" spans="1:11" hidden="1" x14ac:dyDescent="0.25">
      <c r="A987" t="s">
        <v>939</v>
      </c>
      <c r="B987" t="s">
        <v>982</v>
      </c>
      <c r="C987" t="s">
        <v>983</v>
      </c>
      <c r="D987">
        <v>1200</v>
      </c>
      <c r="E987">
        <v>137</v>
      </c>
      <c r="F987">
        <v>200</v>
      </c>
      <c r="G987">
        <v>9.1999999999999993</v>
      </c>
      <c r="H987">
        <v>24100</v>
      </c>
      <c r="I987" t="s">
        <v>18</v>
      </c>
      <c r="J987">
        <v>5</v>
      </c>
      <c r="K987">
        <v>220</v>
      </c>
    </row>
    <row r="988" spans="1:11" hidden="1" x14ac:dyDescent="0.25">
      <c r="A988" t="s">
        <v>910</v>
      </c>
      <c r="B988" t="s">
        <v>1576</v>
      </c>
      <c r="C988" t="s">
        <v>326</v>
      </c>
      <c r="D988">
        <v>2000</v>
      </c>
      <c r="E988">
        <v>150</v>
      </c>
      <c r="F988">
        <v>185</v>
      </c>
      <c r="G988">
        <v>10</v>
      </c>
      <c r="H988">
        <v>24000</v>
      </c>
      <c r="I988" t="s">
        <v>18</v>
      </c>
      <c r="J988">
        <v>7</v>
      </c>
      <c r="K988">
        <v>200</v>
      </c>
    </row>
    <row r="989" spans="1:11" hidden="1" x14ac:dyDescent="0.25">
      <c r="A989" t="s">
        <v>1398</v>
      </c>
      <c r="B989" t="s">
        <v>1438</v>
      </c>
      <c r="C989" t="s">
        <v>1408</v>
      </c>
      <c r="D989">
        <v>2000</v>
      </c>
      <c r="E989">
        <v>148</v>
      </c>
      <c r="F989">
        <v>190</v>
      </c>
      <c r="G989">
        <v>10.5</v>
      </c>
      <c r="H989">
        <v>24000</v>
      </c>
      <c r="I989" t="s">
        <v>18</v>
      </c>
      <c r="J989">
        <v>5</v>
      </c>
      <c r="K989">
        <v>197</v>
      </c>
    </row>
    <row r="990" spans="1:11" hidden="1" x14ac:dyDescent="0.25">
      <c r="A990" t="s">
        <v>910</v>
      </c>
      <c r="B990" t="s">
        <v>1483</v>
      </c>
      <c r="C990" t="s">
        <v>1484</v>
      </c>
      <c r="D990">
        <v>2000</v>
      </c>
      <c r="E990">
        <v>155</v>
      </c>
      <c r="F990">
        <v>200</v>
      </c>
      <c r="G990">
        <v>8.9</v>
      </c>
      <c r="H990">
        <v>24000</v>
      </c>
      <c r="I990" t="s">
        <v>18</v>
      </c>
      <c r="J990">
        <v>5</v>
      </c>
      <c r="K990">
        <v>213</v>
      </c>
    </row>
    <row r="991" spans="1:11" hidden="1" x14ac:dyDescent="0.25">
      <c r="A991" t="s">
        <v>43</v>
      </c>
      <c r="B991" t="s">
        <v>313</v>
      </c>
      <c r="C991" t="s">
        <v>314</v>
      </c>
      <c r="D991">
        <v>1798</v>
      </c>
      <c r="E991">
        <v>134</v>
      </c>
      <c r="F991">
        <v>180</v>
      </c>
      <c r="G991">
        <v>10</v>
      </c>
      <c r="H991">
        <v>24000</v>
      </c>
      <c r="I991" t="s">
        <v>65</v>
      </c>
      <c r="J991">
        <v>5</v>
      </c>
      <c r="K991">
        <v>300</v>
      </c>
    </row>
    <row r="992" spans="1:11" hidden="1" x14ac:dyDescent="0.25">
      <c r="A992" t="s">
        <v>52</v>
      </c>
      <c r="B992" t="s">
        <v>589</v>
      </c>
      <c r="C992" t="s">
        <v>590</v>
      </c>
      <c r="D992">
        <v>1598</v>
      </c>
      <c r="F992">
        <v>200</v>
      </c>
      <c r="G992">
        <v>7.5</v>
      </c>
      <c r="H992">
        <v>24000</v>
      </c>
      <c r="I992" t="s">
        <v>18</v>
      </c>
      <c r="J992">
        <v>5</v>
      </c>
      <c r="K992">
        <v>240</v>
      </c>
    </row>
    <row r="993" spans="1:11" hidden="1" x14ac:dyDescent="0.25">
      <c r="A993" t="s">
        <v>351</v>
      </c>
      <c r="B993" t="s">
        <v>375</v>
      </c>
      <c r="C993" t="s">
        <v>358</v>
      </c>
      <c r="D993">
        <v>1498</v>
      </c>
      <c r="E993">
        <v>122</v>
      </c>
      <c r="F993">
        <v>183</v>
      </c>
      <c r="G993">
        <v>10</v>
      </c>
      <c r="H993">
        <v>24000</v>
      </c>
      <c r="I993" t="s">
        <v>18</v>
      </c>
      <c r="J993">
        <v>5</v>
      </c>
      <c r="K993">
        <v>200</v>
      </c>
    </row>
    <row r="994" spans="1:11" hidden="1" x14ac:dyDescent="0.25">
      <c r="A994" t="s">
        <v>351</v>
      </c>
      <c r="B994" t="s">
        <v>430</v>
      </c>
      <c r="C994" t="s">
        <v>431</v>
      </c>
      <c r="D994">
        <v>1498</v>
      </c>
      <c r="E994">
        <v>158</v>
      </c>
      <c r="F994">
        <v>193</v>
      </c>
      <c r="G994">
        <v>8.4</v>
      </c>
      <c r="H994">
        <v>24000</v>
      </c>
      <c r="I994" t="s">
        <v>18</v>
      </c>
      <c r="J994">
        <v>5</v>
      </c>
      <c r="K994">
        <v>250</v>
      </c>
    </row>
    <row r="995" spans="1:11" hidden="1" x14ac:dyDescent="0.25">
      <c r="A995" t="s">
        <v>218</v>
      </c>
      <c r="B995" t="s">
        <v>1109</v>
      </c>
      <c r="C995" t="s">
        <v>1093</v>
      </c>
      <c r="D995">
        <v>1999</v>
      </c>
      <c r="E995">
        <v>146</v>
      </c>
      <c r="F995">
        <v>190</v>
      </c>
      <c r="G995">
        <v>9</v>
      </c>
      <c r="H995">
        <v>23500</v>
      </c>
      <c r="I995" t="s">
        <v>18</v>
      </c>
      <c r="J995">
        <v>5</v>
      </c>
      <c r="K995">
        <v>179</v>
      </c>
    </row>
    <row r="996" spans="1:11" hidden="1" x14ac:dyDescent="0.25">
      <c r="A996" t="s">
        <v>218</v>
      </c>
      <c r="B996" t="s">
        <v>1131</v>
      </c>
      <c r="C996" t="s">
        <v>1093</v>
      </c>
      <c r="D996">
        <v>1999</v>
      </c>
      <c r="E996">
        <v>147</v>
      </c>
      <c r="F996">
        <v>190</v>
      </c>
      <c r="G996">
        <v>9.5</v>
      </c>
      <c r="H996">
        <v>23500</v>
      </c>
      <c r="I996" t="s">
        <v>18</v>
      </c>
      <c r="J996">
        <v>5</v>
      </c>
      <c r="K996">
        <v>179</v>
      </c>
    </row>
    <row r="997" spans="1:11" hidden="1" x14ac:dyDescent="0.25">
      <c r="A997" t="s">
        <v>1086</v>
      </c>
      <c r="B997" t="s">
        <v>1264</v>
      </c>
      <c r="C997" t="s">
        <v>1240</v>
      </c>
      <c r="D997">
        <v>1598</v>
      </c>
      <c r="E997">
        <v>115</v>
      </c>
      <c r="F997">
        <v>185</v>
      </c>
      <c r="G997">
        <v>10</v>
      </c>
      <c r="H997">
        <v>23500</v>
      </c>
      <c r="I997" t="s">
        <v>18</v>
      </c>
      <c r="J997">
        <v>5</v>
      </c>
      <c r="K997">
        <v>150</v>
      </c>
    </row>
    <row r="998" spans="1:11" hidden="1" x14ac:dyDescent="0.25">
      <c r="A998" t="s">
        <v>939</v>
      </c>
      <c r="B998" t="s">
        <v>962</v>
      </c>
      <c r="C998" t="s">
        <v>963</v>
      </c>
      <c r="D998">
        <v>1300</v>
      </c>
      <c r="E998">
        <v>155</v>
      </c>
      <c r="F998">
        <v>200</v>
      </c>
      <c r="G998">
        <v>9.4</v>
      </c>
      <c r="H998">
        <v>23100</v>
      </c>
      <c r="I998" t="s">
        <v>18</v>
      </c>
      <c r="J998">
        <v>5</v>
      </c>
      <c r="K998">
        <v>236</v>
      </c>
    </row>
    <row r="999" spans="1:11" hidden="1" x14ac:dyDescent="0.25">
      <c r="A999" t="s">
        <v>910</v>
      </c>
      <c r="B999" t="s">
        <v>1489</v>
      </c>
      <c r="C999" t="s">
        <v>1484</v>
      </c>
      <c r="D999">
        <v>2000</v>
      </c>
      <c r="E999">
        <v>146</v>
      </c>
      <c r="F999">
        <v>180</v>
      </c>
      <c r="G999">
        <v>9.5</v>
      </c>
      <c r="H999">
        <v>23000</v>
      </c>
      <c r="I999" t="s">
        <v>18</v>
      </c>
      <c r="J999">
        <v>5</v>
      </c>
      <c r="K999">
        <v>197</v>
      </c>
    </row>
    <row r="1000" spans="1:11" hidden="1" x14ac:dyDescent="0.25">
      <c r="A1000" t="s">
        <v>218</v>
      </c>
      <c r="B1000" t="s">
        <v>1135</v>
      </c>
      <c r="C1000" t="s">
        <v>1093</v>
      </c>
      <c r="D1000">
        <v>1999</v>
      </c>
      <c r="E1000">
        <v>146</v>
      </c>
      <c r="F1000">
        <v>190</v>
      </c>
      <c r="G1000">
        <v>9.1999999999999993</v>
      </c>
      <c r="H1000">
        <v>23000</v>
      </c>
      <c r="I1000" t="s">
        <v>18</v>
      </c>
      <c r="J1000">
        <v>5</v>
      </c>
      <c r="K1000">
        <v>179</v>
      </c>
    </row>
    <row r="1001" spans="1:11" hidden="1" x14ac:dyDescent="0.25">
      <c r="A1001" t="s">
        <v>218</v>
      </c>
      <c r="B1001" t="s">
        <v>1143</v>
      </c>
      <c r="C1001" t="s">
        <v>1093</v>
      </c>
      <c r="D1001">
        <v>1999</v>
      </c>
      <c r="E1001">
        <v>147</v>
      </c>
      <c r="F1001">
        <v>190</v>
      </c>
      <c r="G1001">
        <v>9.5</v>
      </c>
      <c r="H1001">
        <v>23000</v>
      </c>
      <c r="I1001" t="s">
        <v>18</v>
      </c>
      <c r="J1001">
        <v>5</v>
      </c>
      <c r="K1001">
        <v>179</v>
      </c>
    </row>
    <row r="1002" spans="1:11" hidden="1" x14ac:dyDescent="0.25">
      <c r="A1002" t="s">
        <v>52</v>
      </c>
      <c r="B1002" t="s">
        <v>646</v>
      </c>
      <c r="C1002" t="s">
        <v>326</v>
      </c>
      <c r="D1002">
        <v>1998</v>
      </c>
      <c r="F1002">
        <v>190</v>
      </c>
      <c r="G1002">
        <v>11</v>
      </c>
      <c r="H1002">
        <v>23000</v>
      </c>
      <c r="I1002" t="s">
        <v>18</v>
      </c>
      <c r="J1002">
        <v>5</v>
      </c>
      <c r="K1002">
        <v>180</v>
      </c>
    </row>
    <row r="1003" spans="1:11" hidden="1" x14ac:dyDescent="0.25">
      <c r="A1003" t="s">
        <v>820</v>
      </c>
      <c r="B1003" t="s">
        <v>858</v>
      </c>
      <c r="C1003" t="s">
        <v>859</v>
      </c>
      <c r="D1003">
        <v>1956</v>
      </c>
      <c r="E1003">
        <v>168</v>
      </c>
      <c r="F1003">
        <v>180</v>
      </c>
      <c r="G1003">
        <v>11</v>
      </c>
      <c r="H1003">
        <v>23000</v>
      </c>
      <c r="I1003" t="s">
        <v>50</v>
      </c>
      <c r="J1003">
        <v>5</v>
      </c>
      <c r="K1003">
        <v>350</v>
      </c>
    </row>
    <row r="1004" spans="1:11" hidden="1" x14ac:dyDescent="0.25">
      <c r="A1004" t="s">
        <v>19</v>
      </c>
      <c r="B1004" t="s">
        <v>1354</v>
      </c>
      <c r="C1004" t="s">
        <v>575</v>
      </c>
      <c r="D1004">
        <v>1500</v>
      </c>
      <c r="E1004">
        <v>200</v>
      </c>
      <c r="F1004">
        <v>230</v>
      </c>
      <c r="G1004">
        <v>6.5</v>
      </c>
      <c r="H1004">
        <v>23000</v>
      </c>
      <c r="I1004" t="s">
        <v>18</v>
      </c>
      <c r="J1004">
        <v>5</v>
      </c>
      <c r="K1004">
        <v>290</v>
      </c>
    </row>
    <row r="1005" spans="1:11" hidden="1" x14ac:dyDescent="0.25">
      <c r="A1005" t="s">
        <v>351</v>
      </c>
      <c r="B1005" t="s">
        <v>352</v>
      </c>
      <c r="C1005" t="s">
        <v>353</v>
      </c>
      <c r="E1005">
        <v>215</v>
      </c>
      <c r="F1005">
        <v>210</v>
      </c>
      <c r="G1005">
        <v>8.5</v>
      </c>
      <c r="H1005">
        <v>23000</v>
      </c>
      <c r="I1005" t="s">
        <v>18</v>
      </c>
      <c r="J1005">
        <v>5</v>
      </c>
      <c r="K1005">
        <v>250</v>
      </c>
    </row>
    <row r="1006" spans="1:11" hidden="1" x14ac:dyDescent="0.25">
      <c r="A1006" t="s">
        <v>351</v>
      </c>
      <c r="B1006" t="s">
        <v>500</v>
      </c>
      <c r="C1006" t="s">
        <v>132</v>
      </c>
      <c r="E1006">
        <v>83</v>
      </c>
      <c r="F1006">
        <v>130</v>
      </c>
      <c r="G1006">
        <v>11.9</v>
      </c>
      <c r="H1006">
        <v>23000</v>
      </c>
      <c r="I1006" t="s">
        <v>132</v>
      </c>
      <c r="J1006">
        <v>4</v>
      </c>
      <c r="K1006">
        <v>210</v>
      </c>
    </row>
    <row r="1007" spans="1:11" hidden="1" x14ac:dyDescent="0.25">
      <c r="A1007" t="s">
        <v>1398</v>
      </c>
      <c r="B1007" t="s">
        <v>1417</v>
      </c>
      <c r="C1007" t="s">
        <v>1418</v>
      </c>
      <c r="D1007">
        <v>1500</v>
      </c>
      <c r="E1007">
        <v>105</v>
      </c>
      <c r="F1007">
        <v>170</v>
      </c>
      <c r="G1007">
        <v>13.5</v>
      </c>
      <c r="H1007">
        <v>22500</v>
      </c>
      <c r="I1007" t="s">
        <v>18</v>
      </c>
      <c r="J1007">
        <v>7</v>
      </c>
      <c r="K1007">
        <v>141</v>
      </c>
    </row>
    <row r="1008" spans="1:11" hidden="1" x14ac:dyDescent="0.25">
      <c r="A1008" t="s">
        <v>1398</v>
      </c>
      <c r="B1008" t="s">
        <v>1446</v>
      </c>
      <c r="C1008" t="s">
        <v>1418</v>
      </c>
      <c r="D1008">
        <v>1500</v>
      </c>
      <c r="E1008">
        <v>105</v>
      </c>
      <c r="F1008">
        <v>170</v>
      </c>
      <c r="G1008">
        <v>12</v>
      </c>
      <c r="H1008">
        <v>22500</v>
      </c>
      <c r="I1008" t="s">
        <v>18</v>
      </c>
      <c r="J1008">
        <v>7</v>
      </c>
      <c r="K1008">
        <v>141</v>
      </c>
    </row>
    <row r="1009" spans="1:11" hidden="1" x14ac:dyDescent="0.25">
      <c r="A1009" t="s">
        <v>910</v>
      </c>
      <c r="B1009" t="s">
        <v>1539</v>
      </c>
      <c r="C1009" t="s">
        <v>1540</v>
      </c>
      <c r="D1009">
        <v>2600</v>
      </c>
      <c r="E1009">
        <v>120</v>
      </c>
      <c r="F1009">
        <v>160</v>
      </c>
      <c r="G1009">
        <v>12</v>
      </c>
      <c r="H1009">
        <v>22500</v>
      </c>
      <c r="I1009" t="s">
        <v>18</v>
      </c>
      <c r="J1009">
        <v>5</v>
      </c>
      <c r="K1009">
        <v>200</v>
      </c>
    </row>
    <row r="1010" spans="1:11" hidden="1" x14ac:dyDescent="0.25">
      <c r="A1010" t="s">
        <v>910</v>
      </c>
      <c r="B1010" t="s">
        <v>1505</v>
      </c>
      <c r="C1010" t="s">
        <v>1506</v>
      </c>
      <c r="D1010">
        <v>2500</v>
      </c>
      <c r="E1010">
        <v>143</v>
      </c>
      <c r="F1010">
        <v>170</v>
      </c>
      <c r="G1010">
        <v>11.5</v>
      </c>
      <c r="H1010">
        <v>22500</v>
      </c>
      <c r="I1010" t="s">
        <v>50</v>
      </c>
      <c r="J1010">
        <v>5</v>
      </c>
      <c r="K1010">
        <v>330</v>
      </c>
    </row>
    <row r="1011" spans="1:11" hidden="1" x14ac:dyDescent="0.25">
      <c r="A1011" t="s">
        <v>1398</v>
      </c>
      <c r="B1011" t="s">
        <v>1471</v>
      </c>
      <c r="C1011" t="s">
        <v>1472</v>
      </c>
      <c r="D1011">
        <v>2400</v>
      </c>
      <c r="E1011">
        <v>160</v>
      </c>
      <c r="F1011">
        <v>190</v>
      </c>
      <c r="G1011">
        <v>11</v>
      </c>
      <c r="H1011">
        <v>22500</v>
      </c>
      <c r="I1011" t="s">
        <v>18</v>
      </c>
      <c r="J1011">
        <v>5</v>
      </c>
      <c r="K1011">
        <v>214</v>
      </c>
    </row>
    <row r="1012" spans="1:11" hidden="1" x14ac:dyDescent="0.25">
      <c r="A1012" t="s">
        <v>1398</v>
      </c>
      <c r="B1012" t="s">
        <v>1465</v>
      </c>
      <c r="C1012" t="s">
        <v>1408</v>
      </c>
      <c r="D1012">
        <v>2000</v>
      </c>
      <c r="E1012">
        <v>148</v>
      </c>
      <c r="F1012">
        <v>200</v>
      </c>
      <c r="G1012">
        <v>10</v>
      </c>
      <c r="H1012">
        <v>22500</v>
      </c>
      <c r="I1012" t="s">
        <v>18</v>
      </c>
      <c r="J1012">
        <v>5</v>
      </c>
      <c r="K1012">
        <v>197</v>
      </c>
    </row>
    <row r="1013" spans="1:11" hidden="1" x14ac:dyDescent="0.25">
      <c r="A1013" t="s">
        <v>218</v>
      </c>
      <c r="B1013" t="s">
        <v>1130</v>
      </c>
      <c r="C1013" t="s">
        <v>1093</v>
      </c>
      <c r="D1013">
        <v>1999</v>
      </c>
      <c r="E1013">
        <v>147</v>
      </c>
      <c r="F1013">
        <v>190</v>
      </c>
      <c r="G1013">
        <v>9.1999999999999993</v>
      </c>
      <c r="H1013">
        <v>22500</v>
      </c>
      <c r="I1013" t="s">
        <v>18</v>
      </c>
      <c r="J1013">
        <v>5</v>
      </c>
      <c r="K1013">
        <v>179</v>
      </c>
    </row>
    <row r="1014" spans="1:11" hidden="1" x14ac:dyDescent="0.25">
      <c r="A1014" t="s">
        <v>218</v>
      </c>
      <c r="B1014" t="s">
        <v>1152</v>
      </c>
      <c r="C1014" t="s">
        <v>1093</v>
      </c>
      <c r="D1014">
        <v>1999</v>
      </c>
      <c r="E1014">
        <v>147</v>
      </c>
      <c r="F1014">
        <v>190</v>
      </c>
      <c r="G1014">
        <v>9.1999999999999993</v>
      </c>
      <c r="H1014">
        <v>22500</v>
      </c>
      <c r="I1014" t="s">
        <v>18</v>
      </c>
      <c r="J1014">
        <v>5</v>
      </c>
      <c r="K1014">
        <v>179</v>
      </c>
    </row>
    <row r="1015" spans="1:11" hidden="1" x14ac:dyDescent="0.25">
      <c r="A1015" t="s">
        <v>1398</v>
      </c>
      <c r="B1015" t="s">
        <v>1479</v>
      </c>
      <c r="C1015" t="s">
        <v>1461</v>
      </c>
      <c r="D1015">
        <v>1800</v>
      </c>
      <c r="E1015">
        <v>138</v>
      </c>
      <c r="F1015">
        <v>190</v>
      </c>
      <c r="G1015">
        <v>11.5</v>
      </c>
      <c r="H1015">
        <v>22500</v>
      </c>
      <c r="I1015" t="s">
        <v>18</v>
      </c>
      <c r="J1015">
        <v>5</v>
      </c>
      <c r="K1015">
        <v>173</v>
      </c>
    </row>
    <row r="1016" spans="1:11" hidden="1" x14ac:dyDescent="0.25">
      <c r="A1016" t="s">
        <v>910</v>
      </c>
      <c r="B1016" t="s">
        <v>1544</v>
      </c>
      <c r="C1016" t="s">
        <v>523</v>
      </c>
      <c r="D1016">
        <v>1800</v>
      </c>
      <c r="E1016">
        <v>115</v>
      </c>
      <c r="F1016">
        <v>160</v>
      </c>
      <c r="G1016">
        <v>12.5</v>
      </c>
      <c r="H1016">
        <v>22500</v>
      </c>
      <c r="I1016" t="s">
        <v>18</v>
      </c>
      <c r="J1016">
        <v>5</v>
      </c>
      <c r="K1016">
        <v>155</v>
      </c>
    </row>
    <row r="1017" spans="1:11" hidden="1" x14ac:dyDescent="0.25">
      <c r="A1017" t="s">
        <v>43</v>
      </c>
      <c r="B1017" t="s">
        <v>245</v>
      </c>
      <c r="C1017" t="s">
        <v>45</v>
      </c>
      <c r="D1017">
        <v>1798</v>
      </c>
      <c r="E1017">
        <v>139</v>
      </c>
      <c r="F1017">
        <v>180</v>
      </c>
      <c r="G1017">
        <v>9.4</v>
      </c>
      <c r="H1017">
        <v>22500</v>
      </c>
      <c r="I1017" t="s">
        <v>241</v>
      </c>
      <c r="J1017">
        <v>5</v>
      </c>
      <c r="K1017">
        <v>200</v>
      </c>
    </row>
    <row r="1018" spans="1:11" hidden="1" x14ac:dyDescent="0.25">
      <c r="A1018" t="s">
        <v>1086</v>
      </c>
      <c r="B1018" t="s">
        <v>1269</v>
      </c>
      <c r="C1018" t="s">
        <v>1270</v>
      </c>
      <c r="D1018">
        <v>1560</v>
      </c>
      <c r="E1018">
        <v>75</v>
      </c>
      <c r="F1018">
        <v>160</v>
      </c>
      <c r="G1018">
        <v>12</v>
      </c>
      <c r="H1018">
        <v>22500</v>
      </c>
      <c r="I1018" t="s">
        <v>50</v>
      </c>
      <c r="J1018">
        <v>5</v>
      </c>
      <c r="K1018">
        <v>200</v>
      </c>
    </row>
    <row r="1019" spans="1:11" hidden="1" x14ac:dyDescent="0.25">
      <c r="A1019" t="s">
        <v>910</v>
      </c>
      <c r="B1019" t="s">
        <v>1525</v>
      </c>
      <c r="C1019" t="s">
        <v>1526</v>
      </c>
      <c r="D1019">
        <v>1300</v>
      </c>
      <c r="E1019">
        <v>130</v>
      </c>
      <c r="F1019">
        <v>170</v>
      </c>
      <c r="G1019">
        <v>11.5</v>
      </c>
      <c r="H1019">
        <v>22500</v>
      </c>
      <c r="I1019" t="s">
        <v>18</v>
      </c>
      <c r="J1019">
        <v>5</v>
      </c>
      <c r="K1019">
        <v>165</v>
      </c>
    </row>
    <row r="1020" spans="1:11" hidden="1" x14ac:dyDescent="0.25">
      <c r="A1020" t="s">
        <v>19</v>
      </c>
      <c r="B1020" t="s">
        <v>1319</v>
      </c>
      <c r="C1020" t="s">
        <v>1320</v>
      </c>
      <c r="E1020">
        <v>144</v>
      </c>
      <c r="F1020">
        <v>180</v>
      </c>
      <c r="G1020">
        <v>9</v>
      </c>
      <c r="H1020">
        <v>22500</v>
      </c>
      <c r="I1020" t="s">
        <v>18</v>
      </c>
      <c r="J1020">
        <v>5</v>
      </c>
      <c r="K1020">
        <v>185</v>
      </c>
    </row>
    <row r="1021" spans="1:11" hidden="1" x14ac:dyDescent="0.25">
      <c r="A1021" t="s">
        <v>1398</v>
      </c>
      <c r="B1021" t="s">
        <v>1434</v>
      </c>
      <c r="C1021" t="s">
        <v>1435</v>
      </c>
      <c r="E1021">
        <v>132</v>
      </c>
      <c r="F1021">
        <v>200</v>
      </c>
      <c r="G1021">
        <v>10</v>
      </c>
      <c r="H1021">
        <v>22500</v>
      </c>
      <c r="I1021" t="s">
        <v>18</v>
      </c>
      <c r="J1021">
        <v>5</v>
      </c>
      <c r="K1021">
        <v>176</v>
      </c>
    </row>
    <row r="1022" spans="1:11" hidden="1" x14ac:dyDescent="0.25">
      <c r="A1022" t="s">
        <v>910</v>
      </c>
      <c r="B1022" t="s">
        <v>1562</v>
      </c>
      <c r="C1022" t="s">
        <v>1563</v>
      </c>
      <c r="D1022">
        <v>1308</v>
      </c>
      <c r="E1022">
        <v>130</v>
      </c>
      <c r="F1022">
        <v>185</v>
      </c>
      <c r="G1022">
        <v>8.5</v>
      </c>
      <c r="H1022">
        <v>22500</v>
      </c>
      <c r="I1022" t="s">
        <v>18</v>
      </c>
      <c r="J1022">
        <v>4</v>
      </c>
      <c r="K1022">
        <v>220</v>
      </c>
    </row>
    <row r="1023" spans="1:11" hidden="1" x14ac:dyDescent="0.25">
      <c r="A1023" t="s">
        <v>910</v>
      </c>
      <c r="B1023" t="s">
        <v>1552</v>
      </c>
      <c r="C1023" t="s">
        <v>332</v>
      </c>
      <c r="D1023">
        <v>2500</v>
      </c>
      <c r="E1023">
        <v>115</v>
      </c>
      <c r="F1023">
        <v>160</v>
      </c>
      <c r="G1023">
        <v>12.5</v>
      </c>
      <c r="H1023">
        <v>22000</v>
      </c>
      <c r="I1023" t="s">
        <v>215</v>
      </c>
      <c r="J1023">
        <v>7</v>
      </c>
      <c r="K1023">
        <v>160</v>
      </c>
    </row>
    <row r="1024" spans="1:11" hidden="1" x14ac:dyDescent="0.25">
      <c r="A1024" t="s">
        <v>52</v>
      </c>
      <c r="B1024" t="s">
        <v>647</v>
      </c>
      <c r="C1024" t="s">
        <v>592</v>
      </c>
      <c r="D1024">
        <v>2389</v>
      </c>
      <c r="F1024">
        <v>160</v>
      </c>
      <c r="G1024">
        <v>12</v>
      </c>
      <c r="H1024">
        <v>22000</v>
      </c>
      <c r="I1024" t="s">
        <v>18</v>
      </c>
      <c r="J1024">
        <v>7</v>
      </c>
      <c r="K1024">
        <v>205</v>
      </c>
    </row>
    <row r="1025" spans="1:11" hidden="1" x14ac:dyDescent="0.25">
      <c r="A1025" t="s">
        <v>52</v>
      </c>
      <c r="B1025" t="s">
        <v>613</v>
      </c>
      <c r="C1025" t="s">
        <v>614</v>
      </c>
      <c r="D1025">
        <v>2825</v>
      </c>
      <c r="F1025">
        <v>160</v>
      </c>
      <c r="G1025">
        <v>12.5</v>
      </c>
      <c r="H1025">
        <v>22000</v>
      </c>
      <c r="I1025" t="s">
        <v>50</v>
      </c>
      <c r="J1025">
        <v>5</v>
      </c>
      <c r="K1025">
        <v>184</v>
      </c>
    </row>
    <row r="1026" spans="1:11" hidden="1" x14ac:dyDescent="0.25">
      <c r="A1026" t="s">
        <v>269</v>
      </c>
      <c r="B1026" t="s">
        <v>349</v>
      </c>
      <c r="C1026" t="s">
        <v>350</v>
      </c>
      <c r="D1026">
        <v>2000</v>
      </c>
      <c r="E1026">
        <v>160</v>
      </c>
      <c r="F1026">
        <v>200</v>
      </c>
      <c r="G1026">
        <v>8.3000000000000007</v>
      </c>
      <c r="H1026">
        <v>22000</v>
      </c>
      <c r="I1026" t="s">
        <v>18</v>
      </c>
      <c r="J1026">
        <v>5</v>
      </c>
      <c r="K1026">
        <v>320</v>
      </c>
    </row>
    <row r="1027" spans="1:11" hidden="1" x14ac:dyDescent="0.25">
      <c r="A1027" t="s">
        <v>218</v>
      </c>
      <c r="B1027" t="s">
        <v>1114</v>
      </c>
      <c r="C1027" t="s">
        <v>1093</v>
      </c>
      <c r="D1027">
        <v>1999</v>
      </c>
      <c r="E1027">
        <v>147</v>
      </c>
      <c r="F1027">
        <v>190</v>
      </c>
      <c r="G1027">
        <v>9.5</v>
      </c>
      <c r="H1027">
        <v>22000</v>
      </c>
      <c r="I1027" t="s">
        <v>18</v>
      </c>
      <c r="J1027">
        <v>5</v>
      </c>
      <c r="K1027">
        <v>179</v>
      </c>
    </row>
    <row r="1028" spans="1:11" hidden="1" x14ac:dyDescent="0.25">
      <c r="A1028" t="s">
        <v>52</v>
      </c>
      <c r="B1028" t="s">
        <v>564</v>
      </c>
      <c r="C1028" t="s">
        <v>565</v>
      </c>
      <c r="D1028">
        <v>1998</v>
      </c>
      <c r="F1028">
        <v>190</v>
      </c>
      <c r="G1028">
        <v>10.5</v>
      </c>
      <c r="H1028">
        <v>22000</v>
      </c>
      <c r="I1028" t="s">
        <v>18</v>
      </c>
      <c r="J1028">
        <v>5</v>
      </c>
      <c r="K1028">
        <v>190</v>
      </c>
    </row>
    <row r="1029" spans="1:11" hidden="1" x14ac:dyDescent="0.25">
      <c r="A1029" t="s">
        <v>910</v>
      </c>
      <c r="B1029" t="s">
        <v>1586</v>
      </c>
      <c r="C1029" t="s">
        <v>523</v>
      </c>
      <c r="D1029">
        <v>1800</v>
      </c>
      <c r="E1029">
        <v>140</v>
      </c>
      <c r="F1029">
        <v>190</v>
      </c>
      <c r="G1029">
        <v>8.5</v>
      </c>
      <c r="H1029">
        <v>22000</v>
      </c>
      <c r="I1029" t="s">
        <v>18</v>
      </c>
      <c r="J1029">
        <v>5</v>
      </c>
      <c r="K1029">
        <v>160</v>
      </c>
    </row>
    <row r="1030" spans="1:11" hidden="1" x14ac:dyDescent="0.25">
      <c r="A1030" t="s">
        <v>351</v>
      </c>
      <c r="B1030" t="s">
        <v>394</v>
      </c>
      <c r="C1030" t="s">
        <v>395</v>
      </c>
      <c r="D1030">
        <v>1199</v>
      </c>
      <c r="E1030">
        <v>85</v>
      </c>
      <c r="F1030">
        <v>190</v>
      </c>
      <c r="G1030">
        <v>10.5</v>
      </c>
      <c r="H1030">
        <v>22000</v>
      </c>
      <c r="I1030" t="s">
        <v>50</v>
      </c>
      <c r="J1030">
        <v>5</v>
      </c>
      <c r="K1030">
        <v>250</v>
      </c>
    </row>
    <row r="1031" spans="1:11" hidden="1" x14ac:dyDescent="0.25">
      <c r="A1031" t="s">
        <v>1086</v>
      </c>
      <c r="B1031" t="s">
        <v>1262</v>
      </c>
      <c r="C1031" t="s">
        <v>1240</v>
      </c>
      <c r="D1031">
        <v>1199</v>
      </c>
      <c r="E1031">
        <v>82</v>
      </c>
      <c r="F1031">
        <v>180</v>
      </c>
      <c r="G1031">
        <v>10.5</v>
      </c>
      <c r="H1031">
        <v>22000</v>
      </c>
      <c r="I1031" t="s">
        <v>18</v>
      </c>
      <c r="J1031">
        <v>5</v>
      </c>
      <c r="K1031">
        <v>160</v>
      </c>
    </row>
    <row r="1032" spans="1:11" hidden="1" x14ac:dyDescent="0.25">
      <c r="A1032" t="s">
        <v>1086</v>
      </c>
      <c r="B1032" t="s">
        <v>1297</v>
      </c>
      <c r="C1032" t="s">
        <v>1240</v>
      </c>
      <c r="D1032">
        <v>1199</v>
      </c>
      <c r="E1032">
        <v>100</v>
      </c>
      <c r="F1032">
        <v>190</v>
      </c>
      <c r="G1032">
        <v>11.2</v>
      </c>
      <c r="H1032">
        <v>22000</v>
      </c>
      <c r="I1032" t="s">
        <v>18</v>
      </c>
      <c r="J1032">
        <v>5</v>
      </c>
      <c r="K1032">
        <v>205</v>
      </c>
    </row>
    <row r="1033" spans="1:11" hidden="1" x14ac:dyDescent="0.25">
      <c r="A1033" t="s">
        <v>1086</v>
      </c>
      <c r="B1033" t="s">
        <v>1310</v>
      </c>
      <c r="C1033" t="s">
        <v>1240</v>
      </c>
      <c r="D1033">
        <v>1199</v>
      </c>
      <c r="E1033">
        <v>100</v>
      </c>
      <c r="F1033">
        <v>190</v>
      </c>
      <c r="G1033">
        <v>11.2</v>
      </c>
      <c r="H1033">
        <v>22000</v>
      </c>
      <c r="I1033" t="s">
        <v>18</v>
      </c>
      <c r="J1033">
        <v>5</v>
      </c>
      <c r="K1033">
        <v>205</v>
      </c>
    </row>
    <row r="1034" spans="1:11" hidden="1" x14ac:dyDescent="0.25">
      <c r="A1034" t="s">
        <v>351</v>
      </c>
      <c r="B1034" t="s">
        <v>483</v>
      </c>
      <c r="C1034" t="s">
        <v>433</v>
      </c>
      <c r="D1034">
        <v>999</v>
      </c>
      <c r="E1034">
        <v>95</v>
      </c>
      <c r="F1034">
        <v>187</v>
      </c>
      <c r="G1034">
        <v>9.5</v>
      </c>
      <c r="H1034">
        <v>22000</v>
      </c>
      <c r="I1034" t="s">
        <v>18</v>
      </c>
      <c r="J1034">
        <v>5</v>
      </c>
      <c r="K1034">
        <v>175</v>
      </c>
    </row>
    <row r="1035" spans="1:11" hidden="1" x14ac:dyDescent="0.25">
      <c r="A1035" t="s">
        <v>820</v>
      </c>
      <c r="B1035" t="s">
        <v>870</v>
      </c>
      <c r="C1035" t="s">
        <v>824</v>
      </c>
      <c r="E1035">
        <v>129</v>
      </c>
      <c r="F1035">
        <v>120</v>
      </c>
      <c r="G1035">
        <v>9.4</v>
      </c>
      <c r="H1035">
        <v>22000</v>
      </c>
      <c r="I1035" t="s">
        <v>132</v>
      </c>
      <c r="J1035">
        <v>5</v>
      </c>
      <c r="K1035">
        <v>245</v>
      </c>
    </row>
    <row r="1036" spans="1:11" hidden="1" x14ac:dyDescent="0.25">
      <c r="A1036" t="s">
        <v>52</v>
      </c>
      <c r="B1036" t="s">
        <v>617</v>
      </c>
      <c r="C1036" t="s">
        <v>326</v>
      </c>
      <c r="D1036">
        <v>1998</v>
      </c>
      <c r="F1036">
        <v>200</v>
      </c>
      <c r="G1036">
        <v>9</v>
      </c>
      <c r="H1036">
        <v>22000</v>
      </c>
      <c r="I1036" t="s">
        <v>18</v>
      </c>
      <c r="J1036">
        <v>4</v>
      </c>
      <c r="K1036">
        <v>180</v>
      </c>
    </row>
    <row r="1037" spans="1:11" hidden="1" x14ac:dyDescent="0.25">
      <c r="A1037" t="s">
        <v>351</v>
      </c>
      <c r="B1037" t="s">
        <v>357</v>
      </c>
      <c r="C1037" t="s">
        <v>358</v>
      </c>
      <c r="D1037">
        <v>1498</v>
      </c>
      <c r="E1037">
        <v>189</v>
      </c>
      <c r="F1037">
        <v>210</v>
      </c>
      <c r="G1037">
        <v>7.7</v>
      </c>
      <c r="H1037">
        <v>21995</v>
      </c>
      <c r="I1037" t="s">
        <v>18</v>
      </c>
      <c r="J1037">
        <v>5</v>
      </c>
      <c r="K1037">
        <v>250</v>
      </c>
    </row>
    <row r="1038" spans="1:11" hidden="1" x14ac:dyDescent="0.25">
      <c r="A1038" t="s">
        <v>1398</v>
      </c>
      <c r="B1038" t="s">
        <v>1464</v>
      </c>
      <c r="C1038" t="s">
        <v>1408</v>
      </c>
      <c r="D1038">
        <v>2000</v>
      </c>
      <c r="E1038">
        <v>140</v>
      </c>
      <c r="F1038">
        <v>185</v>
      </c>
      <c r="G1038">
        <v>10.5</v>
      </c>
      <c r="H1038">
        <v>21500</v>
      </c>
      <c r="I1038" t="s">
        <v>18</v>
      </c>
      <c r="J1038">
        <v>7</v>
      </c>
      <c r="K1038">
        <v>170</v>
      </c>
    </row>
    <row r="1039" spans="1:11" hidden="1" x14ac:dyDescent="0.25">
      <c r="A1039" t="s">
        <v>1398</v>
      </c>
      <c r="B1039" t="s">
        <v>1460</v>
      </c>
      <c r="C1039" t="s">
        <v>1461</v>
      </c>
      <c r="D1039">
        <v>1800</v>
      </c>
      <c r="E1039">
        <v>140</v>
      </c>
      <c r="F1039">
        <v>185</v>
      </c>
      <c r="G1039">
        <v>10.5</v>
      </c>
      <c r="H1039">
        <v>21500</v>
      </c>
      <c r="I1039" t="s">
        <v>18</v>
      </c>
      <c r="J1039">
        <v>5</v>
      </c>
      <c r="K1039">
        <v>170</v>
      </c>
    </row>
    <row r="1040" spans="1:11" hidden="1" x14ac:dyDescent="0.25">
      <c r="A1040" t="s">
        <v>910</v>
      </c>
      <c r="B1040" t="s">
        <v>1517</v>
      </c>
      <c r="C1040" t="s">
        <v>326</v>
      </c>
      <c r="D1040">
        <v>2000</v>
      </c>
      <c r="E1040">
        <v>138</v>
      </c>
      <c r="F1040">
        <v>190</v>
      </c>
      <c r="G1040">
        <v>9.8000000000000007</v>
      </c>
      <c r="H1040">
        <v>21000</v>
      </c>
      <c r="I1040" t="s">
        <v>18</v>
      </c>
      <c r="J1040">
        <v>7</v>
      </c>
      <c r="K1040">
        <v>180</v>
      </c>
    </row>
    <row r="1041" spans="1:11" hidden="1" x14ac:dyDescent="0.25">
      <c r="A1041" t="s">
        <v>910</v>
      </c>
      <c r="B1041" t="s">
        <v>1571</v>
      </c>
      <c r="C1041" t="s">
        <v>523</v>
      </c>
      <c r="D1041">
        <v>1800</v>
      </c>
      <c r="E1041">
        <v>135</v>
      </c>
      <c r="F1041">
        <v>200</v>
      </c>
      <c r="G1041">
        <v>8.5</v>
      </c>
      <c r="H1041">
        <v>21000</v>
      </c>
      <c r="I1041" t="s">
        <v>18</v>
      </c>
      <c r="J1041">
        <v>5</v>
      </c>
      <c r="K1041">
        <v>170</v>
      </c>
    </row>
    <row r="1042" spans="1:11" hidden="1" x14ac:dyDescent="0.25">
      <c r="A1042" t="s">
        <v>910</v>
      </c>
      <c r="B1042" t="s">
        <v>1537</v>
      </c>
      <c r="C1042" t="s">
        <v>567</v>
      </c>
      <c r="D1042">
        <v>2500</v>
      </c>
      <c r="E1042">
        <v>164</v>
      </c>
      <c r="F1042">
        <v>210</v>
      </c>
      <c r="G1042">
        <v>8.8000000000000007</v>
      </c>
      <c r="H1042">
        <v>21000</v>
      </c>
      <c r="I1042" t="s">
        <v>18</v>
      </c>
      <c r="J1042">
        <v>4</v>
      </c>
      <c r="K1042">
        <v>215</v>
      </c>
    </row>
    <row r="1043" spans="1:11" hidden="1" x14ac:dyDescent="0.25">
      <c r="A1043" t="s">
        <v>218</v>
      </c>
      <c r="B1043" t="s">
        <v>1134</v>
      </c>
      <c r="C1043" t="s">
        <v>1093</v>
      </c>
      <c r="D1043">
        <v>1999</v>
      </c>
      <c r="E1043">
        <v>147</v>
      </c>
      <c r="F1043">
        <v>190</v>
      </c>
      <c r="G1043">
        <v>9.5</v>
      </c>
      <c r="H1043">
        <v>20500</v>
      </c>
      <c r="I1043" t="s">
        <v>18</v>
      </c>
      <c r="J1043">
        <v>5</v>
      </c>
      <c r="K1043">
        <v>179</v>
      </c>
    </row>
    <row r="1044" spans="1:11" hidden="1" x14ac:dyDescent="0.25">
      <c r="A1044" t="s">
        <v>269</v>
      </c>
      <c r="B1044" t="s">
        <v>322</v>
      </c>
      <c r="C1044" t="s">
        <v>323</v>
      </c>
      <c r="D1044">
        <v>1591</v>
      </c>
      <c r="E1044">
        <v>147</v>
      </c>
      <c r="F1044">
        <v>185</v>
      </c>
      <c r="H1044">
        <v>20500</v>
      </c>
      <c r="I1044" t="s">
        <v>324</v>
      </c>
      <c r="J1044">
        <v>5</v>
      </c>
      <c r="K1044">
        <v>400</v>
      </c>
    </row>
    <row r="1045" spans="1:11" hidden="1" x14ac:dyDescent="0.25">
      <c r="A1045" t="s">
        <v>224</v>
      </c>
      <c r="B1045" t="s">
        <v>268</v>
      </c>
      <c r="C1045" t="s">
        <v>45</v>
      </c>
      <c r="D1045">
        <v>1996</v>
      </c>
      <c r="E1045">
        <v>158</v>
      </c>
      <c r="F1045">
        <v>200</v>
      </c>
      <c r="G1045">
        <v>8.5</v>
      </c>
      <c r="H1045">
        <v>20400</v>
      </c>
      <c r="I1045" t="s">
        <v>18</v>
      </c>
      <c r="J1045">
        <v>5</v>
      </c>
      <c r="K1045">
        <v>400</v>
      </c>
    </row>
    <row r="1046" spans="1:11" hidden="1" x14ac:dyDescent="0.25">
      <c r="A1046" t="s">
        <v>276</v>
      </c>
      <c r="B1046" t="s">
        <v>280</v>
      </c>
      <c r="C1046" t="s">
        <v>275</v>
      </c>
      <c r="D1046">
        <v>1997</v>
      </c>
      <c r="E1046">
        <v>150</v>
      </c>
      <c r="F1046">
        <v>180</v>
      </c>
      <c r="G1046">
        <v>10.5</v>
      </c>
      <c r="H1046">
        <v>20400</v>
      </c>
      <c r="I1046" t="s">
        <v>215</v>
      </c>
      <c r="J1046">
        <v>4</v>
      </c>
      <c r="K1046">
        <v>320</v>
      </c>
    </row>
    <row r="1047" spans="1:11" hidden="1" x14ac:dyDescent="0.25">
      <c r="A1047" t="s">
        <v>820</v>
      </c>
      <c r="B1047" t="s">
        <v>863</v>
      </c>
      <c r="C1047" t="s">
        <v>864</v>
      </c>
      <c r="D1047">
        <v>2179</v>
      </c>
      <c r="E1047">
        <v>154</v>
      </c>
      <c r="F1047">
        <v>180</v>
      </c>
      <c r="G1047">
        <v>12</v>
      </c>
      <c r="H1047">
        <v>20000</v>
      </c>
      <c r="I1047" t="s">
        <v>50</v>
      </c>
      <c r="J1047">
        <v>7</v>
      </c>
      <c r="K1047">
        <v>400</v>
      </c>
    </row>
    <row r="1048" spans="1:11" hidden="1" x14ac:dyDescent="0.25">
      <c r="A1048" t="s">
        <v>910</v>
      </c>
      <c r="B1048" t="s">
        <v>1542</v>
      </c>
      <c r="C1048" t="s">
        <v>567</v>
      </c>
      <c r="D1048">
        <v>2500</v>
      </c>
      <c r="E1048">
        <v>160</v>
      </c>
      <c r="F1048">
        <v>190</v>
      </c>
      <c r="G1048">
        <v>8.5</v>
      </c>
      <c r="H1048">
        <v>20000</v>
      </c>
      <c r="I1048" t="s">
        <v>18</v>
      </c>
      <c r="J1048">
        <v>5</v>
      </c>
      <c r="K1048">
        <v>210</v>
      </c>
    </row>
    <row r="1049" spans="1:11" hidden="1" x14ac:dyDescent="0.25">
      <c r="A1049" t="s">
        <v>52</v>
      </c>
      <c r="B1049" t="s">
        <v>591</v>
      </c>
      <c r="C1049" t="s">
        <v>592</v>
      </c>
      <c r="D1049">
        <v>2438</v>
      </c>
      <c r="F1049">
        <v>180</v>
      </c>
      <c r="G1049">
        <v>10.6</v>
      </c>
      <c r="H1049">
        <v>20000</v>
      </c>
      <c r="I1049" t="s">
        <v>18</v>
      </c>
      <c r="J1049">
        <v>5</v>
      </c>
      <c r="K1049">
        <v>217</v>
      </c>
    </row>
    <row r="1050" spans="1:11" hidden="1" x14ac:dyDescent="0.25">
      <c r="A1050" t="s">
        <v>1398</v>
      </c>
      <c r="B1050" t="s">
        <v>1477</v>
      </c>
      <c r="C1050" t="s">
        <v>1408</v>
      </c>
      <c r="D1050">
        <v>2000</v>
      </c>
      <c r="E1050">
        <v>154</v>
      </c>
      <c r="F1050">
        <v>200</v>
      </c>
      <c r="G1050">
        <v>10</v>
      </c>
      <c r="H1050">
        <v>20000</v>
      </c>
      <c r="I1050" t="s">
        <v>18</v>
      </c>
      <c r="J1050">
        <v>5</v>
      </c>
      <c r="K1050">
        <v>200</v>
      </c>
    </row>
    <row r="1051" spans="1:11" hidden="1" x14ac:dyDescent="0.25">
      <c r="A1051" t="s">
        <v>910</v>
      </c>
      <c r="B1051" t="s">
        <v>1527</v>
      </c>
      <c r="C1051" t="s">
        <v>326</v>
      </c>
      <c r="D1051">
        <v>2000</v>
      </c>
      <c r="E1051">
        <v>140</v>
      </c>
      <c r="F1051">
        <v>190</v>
      </c>
      <c r="G1051">
        <v>9.5</v>
      </c>
      <c r="H1051">
        <v>20000</v>
      </c>
      <c r="I1051" t="s">
        <v>18</v>
      </c>
      <c r="J1051">
        <v>5</v>
      </c>
      <c r="K1051">
        <v>180</v>
      </c>
    </row>
    <row r="1052" spans="1:11" hidden="1" x14ac:dyDescent="0.25">
      <c r="A1052" t="s">
        <v>52</v>
      </c>
      <c r="B1052" t="s">
        <v>59</v>
      </c>
      <c r="C1052" t="s">
        <v>45</v>
      </c>
      <c r="D1052">
        <v>1998</v>
      </c>
      <c r="E1052">
        <v>149</v>
      </c>
      <c r="F1052">
        <v>200</v>
      </c>
      <c r="G1052">
        <v>8.1999999999999993</v>
      </c>
      <c r="H1052">
        <v>20000</v>
      </c>
      <c r="I1052" t="s">
        <v>18</v>
      </c>
      <c r="J1052">
        <v>5</v>
      </c>
      <c r="K1052">
        <v>240</v>
      </c>
    </row>
    <row r="1053" spans="1:11" hidden="1" x14ac:dyDescent="0.25">
      <c r="A1053" t="s">
        <v>52</v>
      </c>
      <c r="B1053" t="s">
        <v>562</v>
      </c>
      <c r="C1053" t="s">
        <v>326</v>
      </c>
      <c r="D1053">
        <v>1998</v>
      </c>
      <c r="F1053">
        <v>200</v>
      </c>
      <c r="G1053">
        <v>9.6</v>
      </c>
      <c r="H1053">
        <v>20000</v>
      </c>
      <c r="I1053" t="s">
        <v>18</v>
      </c>
      <c r="J1053">
        <v>5</v>
      </c>
      <c r="K1053">
        <v>190</v>
      </c>
    </row>
    <row r="1054" spans="1:11" hidden="1" x14ac:dyDescent="0.25">
      <c r="A1054" t="s">
        <v>52</v>
      </c>
      <c r="B1054" t="s">
        <v>584</v>
      </c>
      <c r="C1054" t="s">
        <v>326</v>
      </c>
      <c r="D1054">
        <v>1998</v>
      </c>
      <c r="F1054">
        <v>180</v>
      </c>
      <c r="G1054">
        <v>9.8000000000000007</v>
      </c>
      <c r="H1054">
        <v>20000</v>
      </c>
      <c r="I1054" t="s">
        <v>18</v>
      </c>
      <c r="J1054">
        <v>5</v>
      </c>
      <c r="K1054">
        <v>186</v>
      </c>
    </row>
    <row r="1055" spans="1:11" hidden="1" x14ac:dyDescent="0.25">
      <c r="A1055" t="s">
        <v>52</v>
      </c>
      <c r="B1055" t="s">
        <v>516</v>
      </c>
      <c r="C1055" t="s">
        <v>337</v>
      </c>
      <c r="D1055">
        <v>1598</v>
      </c>
      <c r="F1055">
        <v>180</v>
      </c>
      <c r="G1055">
        <v>10.7</v>
      </c>
      <c r="H1055">
        <v>20000</v>
      </c>
      <c r="I1055" t="s">
        <v>18</v>
      </c>
      <c r="J1055">
        <v>5</v>
      </c>
      <c r="K1055">
        <v>154</v>
      </c>
    </row>
    <row r="1056" spans="1:11" hidden="1" x14ac:dyDescent="0.25">
      <c r="A1056" t="s">
        <v>1086</v>
      </c>
      <c r="B1056" t="s">
        <v>1309</v>
      </c>
      <c r="C1056" t="s">
        <v>1240</v>
      </c>
      <c r="D1056">
        <v>1199</v>
      </c>
      <c r="E1056">
        <v>82</v>
      </c>
      <c r="F1056">
        <v>180</v>
      </c>
      <c r="G1056">
        <v>12</v>
      </c>
      <c r="H1056">
        <v>20000</v>
      </c>
      <c r="I1056" t="s">
        <v>18</v>
      </c>
      <c r="J1056">
        <v>5</v>
      </c>
      <c r="K1056">
        <v>115</v>
      </c>
    </row>
    <row r="1057" spans="1:11" hidden="1" x14ac:dyDescent="0.25">
      <c r="A1057" t="s">
        <v>351</v>
      </c>
      <c r="B1057" t="s">
        <v>426</v>
      </c>
      <c r="C1057" t="s">
        <v>427</v>
      </c>
      <c r="E1057">
        <v>125</v>
      </c>
      <c r="F1057">
        <v>200</v>
      </c>
      <c r="G1057">
        <v>9.4</v>
      </c>
      <c r="H1057">
        <v>20000</v>
      </c>
      <c r="I1057" t="s">
        <v>18</v>
      </c>
      <c r="J1057">
        <v>5</v>
      </c>
      <c r="K1057">
        <v>220</v>
      </c>
    </row>
    <row r="1058" spans="1:11" hidden="1" x14ac:dyDescent="0.25">
      <c r="A1058" t="s">
        <v>351</v>
      </c>
      <c r="B1058" t="s">
        <v>442</v>
      </c>
      <c r="C1058" t="s">
        <v>443</v>
      </c>
      <c r="E1058">
        <v>90</v>
      </c>
      <c r="F1058">
        <v>190</v>
      </c>
      <c r="G1058">
        <v>9.9</v>
      </c>
      <c r="H1058">
        <v>20000</v>
      </c>
      <c r="I1058" t="s">
        <v>50</v>
      </c>
      <c r="J1058">
        <v>5</v>
      </c>
      <c r="K1058">
        <v>250</v>
      </c>
    </row>
    <row r="1059" spans="1:11" hidden="1" x14ac:dyDescent="0.25">
      <c r="A1059" t="s">
        <v>19</v>
      </c>
      <c r="B1059" t="s">
        <v>1315</v>
      </c>
      <c r="C1059" t="s">
        <v>1316</v>
      </c>
      <c r="E1059">
        <v>142</v>
      </c>
      <c r="F1059">
        <v>200</v>
      </c>
      <c r="G1059">
        <v>7</v>
      </c>
      <c r="H1059">
        <v>20000</v>
      </c>
      <c r="I1059" t="s">
        <v>18</v>
      </c>
      <c r="J1059">
        <v>5</v>
      </c>
      <c r="K1059">
        <v>210</v>
      </c>
    </row>
    <row r="1060" spans="1:11" hidden="1" x14ac:dyDescent="0.25">
      <c r="A1060" t="s">
        <v>910</v>
      </c>
      <c r="B1060" t="s">
        <v>1573</v>
      </c>
      <c r="C1060" t="s">
        <v>326</v>
      </c>
      <c r="D1060">
        <v>2000</v>
      </c>
      <c r="E1060">
        <v>115</v>
      </c>
      <c r="F1060">
        <v>180</v>
      </c>
      <c r="G1060">
        <v>12</v>
      </c>
      <c r="H1060">
        <v>20000</v>
      </c>
      <c r="I1060" t="s">
        <v>18</v>
      </c>
      <c r="J1060">
        <v>4</v>
      </c>
      <c r="K1060">
        <v>160</v>
      </c>
    </row>
    <row r="1061" spans="1:11" hidden="1" x14ac:dyDescent="0.25">
      <c r="A1061" t="s">
        <v>351</v>
      </c>
      <c r="B1061" t="s">
        <v>367</v>
      </c>
      <c r="C1061" t="s">
        <v>355</v>
      </c>
      <c r="D1061">
        <v>1984</v>
      </c>
      <c r="E1061">
        <v>158</v>
      </c>
      <c r="F1061">
        <v>205</v>
      </c>
      <c r="G1061">
        <v>7</v>
      </c>
      <c r="H1061">
        <v>20000</v>
      </c>
      <c r="I1061" t="s">
        <v>18</v>
      </c>
      <c r="J1061">
        <v>4</v>
      </c>
      <c r="K1061">
        <v>240</v>
      </c>
    </row>
    <row r="1062" spans="1:11" hidden="1" x14ac:dyDescent="0.25">
      <c r="A1062" t="s">
        <v>52</v>
      </c>
      <c r="B1062" t="s">
        <v>696</v>
      </c>
      <c r="C1062" t="s">
        <v>697</v>
      </c>
      <c r="D1062">
        <v>1809</v>
      </c>
      <c r="F1062">
        <v>215</v>
      </c>
      <c r="G1062">
        <v>6.8</v>
      </c>
      <c r="H1062">
        <v>20000</v>
      </c>
      <c r="I1062" t="s">
        <v>18</v>
      </c>
      <c r="J1062">
        <v>4</v>
      </c>
      <c r="K1062">
        <v>230</v>
      </c>
    </row>
    <row r="1063" spans="1:11" hidden="1" x14ac:dyDescent="0.25">
      <c r="A1063" t="s">
        <v>910</v>
      </c>
      <c r="B1063" t="s">
        <v>1589</v>
      </c>
      <c r="C1063" t="s">
        <v>337</v>
      </c>
      <c r="D1063">
        <v>1598</v>
      </c>
      <c r="E1063">
        <v>130</v>
      </c>
      <c r="F1063">
        <v>190</v>
      </c>
      <c r="G1063">
        <v>8.5</v>
      </c>
      <c r="H1063">
        <v>20000</v>
      </c>
      <c r="I1063" t="s">
        <v>18</v>
      </c>
      <c r="J1063">
        <v>4</v>
      </c>
      <c r="K1063">
        <v>140</v>
      </c>
    </row>
    <row r="1064" spans="1:11" hidden="1" x14ac:dyDescent="0.25">
      <c r="A1064" t="s">
        <v>351</v>
      </c>
      <c r="B1064" t="s">
        <v>482</v>
      </c>
      <c r="C1064" t="s">
        <v>395</v>
      </c>
      <c r="D1064">
        <v>1199</v>
      </c>
      <c r="E1064">
        <v>61</v>
      </c>
      <c r="F1064">
        <v>165</v>
      </c>
      <c r="G1064">
        <v>14.5</v>
      </c>
      <c r="H1064">
        <v>20000</v>
      </c>
      <c r="I1064" t="s">
        <v>50</v>
      </c>
      <c r="J1064">
        <v>4</v>
      </c>
      <c r="K1064">
        <v>140</v>
      </c>
    </row>
    <row r="1065" spans="1:11" hidden="1" x14ac:dyDescent="0.25">
      <c r="A1065" t="s">
        <v>351</v>
      </c>
      <c r="B1065" t="s">
        <v>384</v>
      </c>
      <c r="C1065" t="s">
        <v>385</v>
      </c>
      <c r="D1065">
        <v>999</v>
      </c>
      <c r="E1065">
        <v>115</v>
      </c>
      <c r="F1065">
        <v>196</v>
      </c>
      <c r="G1065">
        <v>8.8000000000000007</v>
      </c>
      <c r="H1065">
        <v>20000</v>
      </c>
      <c r="I1065" t="s">
        <v>18</v>
      </c>
      <c r="J1065">
        <v>4</v>
      </c>
      <c r="K1065">
        <v>200</v>
      </c>
    </row>
    <row r="1066" spans="1:11" hidden="1" x14ac:dyDescent="0.25">
      <c r="A1066" t="s">
        <v>52</v>
      </c>
      <c r="B1066" t="s">
        <v>637</v>
      </c>
      <c r="C1066" t="s">
        <v>638</v>
      </c>
      <c r="D1066">
        <v>987</v>
      </c>
      <c r="F1066">
        <v>170</v>
      </c>
      <c r="G1066">
        <v>12.8</v>
      </c>
      <c r="H1066">
        <v>20000</v>
      </c>
      <c r="I1066" t="s">
        <v>18</v>
      </c>
      <c r="J1066">
        <v>4</v>
      </c>
      <c r="K1066">
        <v>103</v>
      </c>
    </row>
    <row r="1067" spans="1:11" hidden="1" x14ac:dyDescent="0.25">
      <c r="A1067" t="s">
        <v>910</v>
      </c>
      <c r="B1067" t="s">
        <v>1551</v>
      </c>
      <c r="C1067" t="s">
        <v>326</v>
      </c>
      <c r="D1067">
        <v>2000</v>
      </c>
      <c r="E1067">
        <v>100</v>
      </c>
      <c r="F1067">
        <v>160</v>
      </c>
      <c r="G1067">
        <v>14</v>
      </c>
      <c r="H1067">
        <v>20000</v>
      </c>
      <c r="I1067" t="s">
        <v>215</v>
      </c>
      <c r="J1067">
        <v>3</v>
      </c>
      <c r="K1067">
        <v>140</v>
      </c>
    </row>
    <row r="1068" spans="1:11" hidden="1" x14ac:dyDescent="0.25">
      <c r="A1068" t="s">
        <v>910</v>
      </c>
      <c r="B1068" t="s">
        <v>1593</v>
      </c>
      <c r="C1068" t="s">
        <v>1594</v>
      </c>
      <c r="D1068">
        <v>1308</v>
      </c>
      <c r="E1068">
        <v>130</v>
      </c>
      <c r="F1068">
        <v>150</v>
      </c>
      <c r="G1068">
        <v>14.5</v>
      </c>
      <c r="H1068">
        <v>20000</v>
      </c>
      <c r="I1068" t="s">
        <v>18</v>
      </c>
      <c r="J1068">
        <v>2</v>
      </c>
      <c r="K1068">
        <v>160</v>
      </c>
    </row>
    <row r="1069" spans="1:11" hidden="1" x14ac:dyDescent="0.25">
      <c r="A1069" t="s">
        <v>269</v>
      </c>
      <c r="B1069" t="s">
        <v>325</v>
      </c>
      <c r="C1069" t="s">
        <v>326</v>
      </c>
      <c r="D1069">
        <v>2000</v>
      </c>
      <c r="E1069">
        <v>147</v>
      </c>
      <c r="F1069">
        <v>210</v>
      </c>
      <c r="G1069">
        <v>8.3000000000000007</v>
      </c>
      <c r="H1069">
        <v>19950</v>
      </c>
      <c r="I1069" t="s">
        <v>241</v>
      </c>
      <c r="J1069">
        <v>5</v>
      </c>
      <c r="K1069">
        <v>250</v>
      </c>
    </row>
    <row r="1070" spans="1:11" hidden="1" x14ac:dyDescent="0.25">
      <c r="A1070" t="s">
        <v>820</v>
      </c>
      <c r="B1070" t="s">
        <v>865</v>
      </c>
      <c r="C1070" t="s">
        <v>866</v>
      </c>
      <c r="D1070">
        <v>2179</v>
      </c>
      <c r="E1070">
        <v>138</v>
      </c>
      <c r="F1070">
        <v>162</v>
      </c>
      <c r="G1070">
        <v>13</v>
      </c>
      <c r="H1070">
        <v>19000</v>
      </c>
      <c r="I1070" t="s">
        <v>50</v>
      </c>
      <c r="J1070">
        <v>7</v>
      </c>
      <c r="K1070">
        <v>320</v>
      </c>
    </row>
    <row r="1071" spans="1:11" hidden="1" x14ac:dyDescent="0.25">
      <c r="A1071" t="s">
        <v>218</v>
      </c>
      <c r="B1071" t="s">
        <v>1092</v>
      </c>
      <c r="C1071" t="s">
        <v>1093</v>
      </c>
      <c r="D1071">
        <v>1999</v>
      </c>
      <c r="E1071">
        <v>147</v>
      </c>
      <c r="F1071">
        <v>190</v>
      </c>
      <c r="G1071">
        <v>9.1999999999999993</v>
      </c>
      <c r="H1071">
        <v>19000</v>
      </c>
      <c r="I1071" t="s">
        <v>18</v>
      </c>
      <c r="J1071">
        <v>5</v>
      </c>
      <c r="K1071">
        <v>179</v>
      </c>
    </row>
    <row r="1072" spans="1:11" hidden="1" x14ac:dyDescent="0.25">
      <c r="A1072" t="s">
        <v>52</v>
      </c>
      <c r="B1072" t="s">
        <v>543</v>
      </c>
      <c r="C1072" t="s">
        <v>544</v>
      </c>
      <c r="D1072">
        <v>1197</v>
      </c>
      <c r="F1072">
        <v>190</v>
      </c>
      <c r="G1072">
        <v>10.7</v>
      </c>
      <c r="H1072">
        <v>19000</v>
      </c>
      <c r="I1072" t="s">
        <v>18</v>
      </c>
      <c r="J1072">
        <v>5</v>
      </c>
      <c r="K1072">
        <v>190</v>
      </c>
    </row>
    <row r="1073" spans="1:11" hidden="1" x14ac:dyDescent="0.25">
      <c r="A1073" t="s">
        <v>269</v>
      </c>
      <c r="B1073" t="s">
        <v>348</v>
      </c>
      <c r="C1073" t="s">
        <v>326</v>
      </c>
      <c r="D1073">
        <v>2000</v>
      </c>
      <c r="E1073">
        <v>160</v>
      </c>
      <c r="F1073">
        <v>200</v>
      </c>
      <c r="G1073">
        <v>8.1999999999999993</v>
      </c>
      <c r="H1073">
        <v>19000</v>
      </c>
      <c r="I1073" t="s">
        <v>18</v>
      </c>
      <c r="J1073">
        <v>4</v>
      </c>
      <c r="K1073">
        <v>320</v>
      </c>
    </row>
    <row r="1074" spans="1:11" hidden="1" x14ac:dyDescent="0.25">
      <c r="A1074" t="s">
        <v>910</v>
      </c>
      <c r="B1074" t="s">
        <v>1581</v>
      </c>
      <c r="C1074" t="s">
        <v>326</v>
      </c>
      <c r="D1074">
        <v>2000</v>
      </c>
      <c r="E1074">
        <v>110</v>
      </c>
      <c r="F1074">
        <v>170</v>
      </c>
      <c r="G1074">
        <v>12.5</v>
      </c>
      <c r="H1074">
        <v>19000</v>
      </c>
      <c r="I1074" t="s">
        <v>18</v>
      </c>
      <c r="J1074">
        <v>2</v>
      </c>
      <c r="K1074">
        <v>160</v>
      </c>
    </row>
    <row r="1075" spans="1:11" hidden="1" x14ac:dyDescent="0.25">
      <c r="A1075" t="s">
        <v>1398</v>
      </c>
      <c r="B1075" t="s">
        <v>1482</v>
      </c>
      <c r="C1075" t="s">
        <v>330</v>
      </c>
      <c r="E1075">
        <v>64</v>
      </c>
      <c r="F1075">
        <v>100</v>
      </c>
      <c r="H1075">
        <v>19000</v>
      </c>
      <c r="I1075" t="s">
        <v>132</v>
      </c>
      <c r="J1075">
        <v>2</v>
      </c>
      <c r="K1075">
        <v>196</v>
      </c>
    </row>
    <row r="1076" spans="1:11" hidden="1" x14ac:dyDescent="0.25">
      <c r="A1076" t="s">
        <v>52</v>
      </c>
      <c r="B1076" t="s">
        <v>593</v>
      </c>
      <c r="C1076" t="s">
        <v>332</v>
      </c>
      <c r="D1076">
        <v>2498</v>
      </c>
      <c r="F1076">
        <v>175</v>
      </c>
      <c r="G1076">
        <v>11</v>
      </c>
      <c r="H1076">
        <v>18500</v>
      </c>
      <c r="I1076" t="s">
        <v>18</v>
      </c>
      <c r="J1076">
        <v>5</v>
      </c>
      <c r="K1076">
        <v>225</v>
      </c>
    </row>
    <row r="1077" spans="1:11" hidden="1" x14ac:dyDescent="0.25">
      <c r="A1077" t="s">
        <v>218</v>
      </c>
      <c r="B1077" t="s">
        <v>1115</v>
      </c>
      <c r="C1077" t="s">
        <v>1093</v>
      </c>
      <c r="D1077">
        <v>1999</v>
      </c>
      <c r="E1077">
        <v>147</v>
      </c>
      <c r="F1077">
        <v>190</v>
      </c>
      <c r="G1077">
        <v>9.1999999999999993</v>
      </c>
      <c r="H1077">
        <v>18500</v>
      </c>
      <c r="I1077" t="s">
        <v>18</v>
      </c>
      <c r="J1077">
        <v>5</v>
      </c>
      <c r="K1077">
        <v>179</v>
      </c>
    </row>
    <row r="1078" spans="1:11" hidden="1" x14ac:dyDescent="0.25">
      <c r="A1078" t="s">
        <v>52</v>
      </c>
      <c r="B1078" t="s">
        <v>547</v>
      </c>
      <c r="C1078" t="s">
        <v>326</v>
      </c>
      <c r="D1078">
        <v>1997</v>
      </c>
      <c r="F1078">
        <v>185</v>
      </c>
      <c r="G1078">
        <v>10.5</v>
      </c>
      <c r="H1078">
        <v>18500</v>
      </c>
      <c r="I1078" t="s">
        <v>18</v>
      </c>
      <c r="J1078">
        <v>5</v>
      </c>
      <c r="K1078">
        <v>191</v>
      </c>
    </row>
    <row r="1079" spans="1:11" hidden="1" x14ac:dyDescent="0.25">
      <c r="A1079" t="s">
        <v>52</v>
      </c>
      <c r="B1079" t="s">
        <v>568</v>
      </c>
      <c r="C1079" t="s">
        <v>523</v>
      </c>
      <c r="D1079">
        <v>1796</v>
      </c>
      <c r="F1079">
        <v>175</v>
      </c>
      <c r="G1079">
        <v>11</v>
      </c>
      <c r="H1079">
        <v>18500</v>
      </c>
      <c r="I1079" t="s">
        <v>18</v>
      </c>
      <c r="J1079">
        <v>5</v>
      </c>
      <c r="K1079">
        <v>170</v>
      </c>
    </row>
    <row r="1080" spans="1:11" hidden="1" x14ac:dyDescent="0.25">
      <c r="A1080" t="s">
        <v>1398</v>
      </c>
      <c r="B1080" t="s">
        <v>1443</v>
      </c>
      <c r="C1080" t="s">
        <v>1444</v>
      </c>
      <c r="D1080">
        <v>1600</v>
      </c>
      <c r="E1080">
        <v>115</v>
      </c>
      <c r="F1080">
        <v>190</v>
      </c>
      <c r="G1080">
        <v>11.5</v>
      </c>
      <c r="H1080">
        <v>18500</v>
      </c>
      <c r="I1080" t="s">
        <v>18</v>
      </c>
      <c r="J1080">
        <v>5</v>
      </c>
      <c r="K1080">
        <v>154</v>
      </c>
    </row>
    <row r="1081" spans="1:11" hidden="1" x14ac:dyDescent="0.25">
      <c r="A1081" t="s">
        <v>910</v>
      </c>
      <c r="B1081" t="s">
        <v>911</v>
      </c>
      <c r="C1081" t="s">
        <v>912</v>
      </c>
      <c r="D1081">
        <v>1500</v>
      </c>
      <c r="E1081">
        <v>108</v>
      </c>
      <c r="F1081">
        <v>180</v>
      </c>
      <c r="G1081">
        <v>10.199999999999999</v>
      </c>
      <c r="H1081">
        <v>18500</v>
      </c>
      <c r="I1081" t="s">
        <v>18</v>
      </c>
      <c r="J1081">
        <v>5</v>
      </c>
      <c r="K1081">
        <v>142</v>
      </c>
    </row>
    <row r="1082" spans="1:11" hidden="1" x14ac:dyDescent="0.25">
      <c r="A1082" t="s">
        <v>276</v>
      </c>
      <c r="B1082" t="s">
        <v>277</v>
      </c>
      <c r="C1082" t="s">
        <v>278</v>
      </c>
      <c r="D1082">
        <v>2179</v>
      </c>
      <c r="E1082">
        <v>155</v>
      </c>
      <c r="F1082">
        <v>180</v>
      </c>
      <c r="G1082">
        <v>10.5</v>
      </c>
      <c r="H1082">
        <v>18400</v>
      </c>
      <c r="I1082" t="s">
        <v>50</v>
      </c>
      <c r="J1082">
        <v>7</v>
      </c>
      <c r="K1082">
        <v>400</v>
      </c>
    </row>
    <row r="1083" spans="1:11" hidden="1" x14ac:dyDescent="0.25">
      <c r="A1083" t="s">
        <v>269</v>
      </c>
      <c r="B1083" t="s">
        <v>274</v>
      </c>
      <c r="C1083" t="s">
        <v>275</v>
      </c>
      <c r="D1083">
        <v>1999</v>
      </c>
      <c r="E1083">
        <v>147</v>
      </c>
      <c r="F1083">
        <v>200</v>
      </c>
      <c r="G1083">
        <v>9.5</v>
      </c>
      <c r="H1083">
        <v>18400</v>
      </c>
      <c r="I1083" t="s">
        <v>241</v>
      </c>
      <c r="J1083">
        <v>5</v>
      </c>
      <c r="K1083">
        <v>250</v>
      </c>
    </row>
    <row r="1084" spans="1:11" hidden="1" x14ac:dyDescent="0.25">
      <c r="A1084" t="s">
        <v>43</v>
      </c>
      <c r="B1084" t="s">
        <v>260</v>
      </c>
      <c r="C1084" t="s">
        <v>45</v>
      </c>
      <c r="D1084">
        <v>1496</v>
      </c>
      <c r="E1084">
        <v>106</v>
      </c>
      <c r="F1084">
        <v>180</v>
      </c>
      <c r="G1084">
        <v>11.2</v>
      </c>
      <c r="H1084">
        <v>18400</v>
      </c>
      <c r="I1084" t="s">
        <v>18</v>
      </c>
      <c r="J1084">
        <v>5</v>
      </c>
      <c r="K1084">
        <v>150</v>
      </c>
    </row>
    <row r="1085" spans="1:11" hidden="1" x14ac:dyDescent="0.25">
      <c r="A1085" t="s">
        <v>52</v>
      </c>
      <c r="B1085" t="s">
        <v>675</v>
      </c>
      <c r="C1085" t="s">
        <v>326</v>
      </c>
      <c r="D1085">
        <v>1998</v>
      </c>
      <c r="F1085">
        <v>175</v>
      </c>
      <c r="G1085">
        <v>11</v>
      </c>
      <c r="H1085">
        <v>18000</v>
      </c>
      <c r="I1085" t="s">
        <v>18</v>
      </c>
      <c r="J1085">
        <v>5</v>
      </c>
      <c r="K1085">
        <v>170</v>
      </c>
    </row>
    <row r="1086" spans="1:11" hidden="1" x14ac:dyDescent="0.25">
      <c r="A1086" t="s">
        <v>52</v>
      </c>
      <c r="B1086" t="s">
        <v>522</v>
      </c>
      <c r="C1086" t="s">
        <v>523</v>
      </c>
      <c r="D1086">
        <v>1798</v>
      </c>
      <c r="F1086">
        <v>190</v>
      </c>
      <c r="G1086">
        <v>9.6</v>
      </c>
      <c r="H1086">
        <v>18000</v>
      </c>
      <c r="I1086" t="s">
        <v>18</v>
      </c>
      <c r="J1086">
        <v>5</v>
      </c>
      <c r="K1086">
        <v>174</v>
      </c>
    </row>
    <row r="1087" spans="1:11" hidden="1" x14ac:dyDescent="0.25">
      <c r="A1087" t="s">
        <v>52</v>
      </c>
      <c r="B1087" t="s">
        <v>585</v>
      </c>
      <c r="C1087" t="s">
        <v>523</v>
      </c>
      <c r="D1087">
        <v>1798</v>
      </c>
      <c r="F1087">
        <v>175</v>
      </c>
      <c r="G1087">
        <v>10.8</v>
      </c>
      <c r="H1087">
        <v>18000</v>
      </c>
      <c r="I1087" t="s">
        <v>18</v>
      </c>
      <c r="J1087">
        <v>5</v>
      </c>
      <c r="K1087">
        <v>168</v>
      </c>
    </row>
    <row r="1088" spans="1:11" hidden="1" x14ac:dyDescent="0.25">
      <c r="A1088" t="s">
        <v>52</v>
      </c>
      <c r="B1088" t="s">
        <v>645</v>
      </c>
      <c r="C1088" t="s">
        <v>523</v>
      </c>
      <c r="D1088">
        <v>1770</v>
      </c>
      <c r="F1088">
        <v>155</v>
      </c>
      <c r="G1088">
        <v>13.8</v>
      </c>
      <c r="H1088">
        <v>18000</v>
      </c>
      <c r="I1088" t="s">
        <v>18</v>
      </c>
      <c r="J1088">
        <v>5</v>
      </c>
      <c r="K1088">
        <v>130</v>
      </c>
    </row>
    <row r="1089" spans="1:11" hidden="1" x14ac:dyDescent="0.25">
      <c r="A1089" t="s">
        <v>269</v>
      </c>
      <c r="B1089" t="s">
        <v>338</v>
      </c>
      <c r="C1089" t="s">
        <v>337</v>
      </c>
      <c r="D1089">
        <v>1600</v>
      </c>
      <c r="E1089">
        <v>121</v>
      </c>
      <c r="F1089">
        <v>180</v>
      </c>
      <c r="G1089">
        <v>9.5</v>
      </c>
      <c r="H1089">
        <v>18000</v>
      </c>
      <c r="I1089" t="s">
        <v>18</v>
      </c>
      <c r="J1089">
        <v>5</v>
      </c>
      <c r="K1089">
        <v>240</v>
      </c>
    </row>
    <row r="1090" spans="1:11" hidden="1" x14ac:dyDescent="0.25">
      <c r="A1090" t="s">
        <v>269</v>
      </c>
      <c r="B1090" t="s">
        <v>342</v>
      </c>
      <c r="C1090" t="s">
        <v>337</v>
      </c>
      <c r="D1090">
        <v>1600</v>
      </c>
      <c r="E1090">
        <v>139</v>
      </c>
      <c r="F1090">
        <v>160</v>
      </c>
      <c r="G1090">
        <v>8.5</v>
      </c>
      <c r="H1090">
        <v>18000</v>
      </c>
      <c r="I1090" t="s">
        <v>343</v>
      </c>
      <c r="J1090">
        <v>5</v>
      </c>
      <c r="K1090">
        <v>295</v>
      </c>
    </row>
    <row r="1091" spans="1:11" hidden="1" x14ac:dyDescent="0.25">
      <c r="A1091" t="s">
        <v>351</v>
      </c>
      <c r="B1091" t="s">
        <v>423</v>
      </c>
      <c r="C1091" t="s">
        <v>424</v>
      </c>
      <c r="D1091">
        <v>1598</v>
      </c>
      <c r="E1091">
        <v>108</v>
      </c>
      <c r="F1091">
        <v>186</v>
      </c>
      <c r="G1091">
        <v>11.7</v>
      </c>
      <c r="H1091">
        <v>18000</v>
      </c>
      <c r="I1091" t="s">
        <v>18</v>
      </c>
      <c r="J1091">
        <v>5</v>
      </c>
      <c r="K1091">
        <v>153</v>
      </c>
    </row>
    <row r="1092" spans="1:11" hidden="1" x14ac:dyDescent="0.25">
      <c r="A1092" t="s">
        <v>52</v>
      </c>
      <c r="B1092" t="s">
        <v>649</v>
      </c>
      <c r="C1092" t="s">
        <v>337</v>
      </c>
      <c r="D1092">
        <v>1597</v>
      </c>
      <c r="F1092">
        <v>170</v>
      </c>
      <c r="G1092">
        <v>11</v>
      </c>
      <c r="H1092">
        <v>18000</v>
      </c>
      <c r="I1092" t="s">
        <v>18</v>
      </c>
      <c r="J1092">
        <v>5</v>
      </c>
      <c r="K1092">
        <v>140</v>
      </c>
    </row>
    <row r="1093" spans="1:11" hidden="1" x14ac:dyDescent="0.25">
      <c r="A1093" t="s">
        <v>218</v>
      </c>
      <c r="B1093" t="s">
        <v>1083</v>
      </c>
      <c r="C1093" t="s">
        <v>1082</v>
      </c>
      <c r="D1093">
        <v>1591</v>
      </c>
      <c r="E1093">
        <v>120</v>
      </c>
      <c r="F1093">
        <v>180</v>
      </c>
      <c r="G1093">
        <v>10.3</v>
      </c>
      <c r="H1093">
        <v>18000</v>
      </c>
      <c r="I1093" t="s">
        <v>18</v>
      </c>
      <c r="J1093">
        <v>5</v>
      </c>
      <c r="K1093">
        <v>151</v>
      </c>
    </row>
    <row r="1094" spans="1:11" hidden="1" x14ac:dyDescent="0.25">
      <c r="A1094" t="s">
        <v>218</v>
      </c>
      <c r="B1094" t="s">
        <v>1133</v>
      </c>
      <c r="C1094" t="s">
        <v>1082</v>
      </c>
      <c r="D1094">
        <v>1591</v>
      </c>
      <c r="E1094">
        <v>120</v>
      </c>
      <c r="F1094">
        <v>180</v>
      </c>
      <c r="G1094">
        <v>10.3</v>
      </c>
      <c r="H1094">
        <v>18000</v>
      </c>
      <c r="I1094" t="s">
        <v>18</v>
      </c>
      <c r="J1094">
        <v>5</v>
      </c>
      <c r="K1094">
        <v>151</v>
      </c>
    </row>
    <row r="1095" spans="1:11" hidden="1" x14ac:dyDescent="0.25">
      <c r="A1095" t="s">
        <v>1398</v>
      </c>
      <c r="B1095" t="s">
        <v>1401</v>
      </c>
      <c r="C1095" t="s">
        <v>1400</v>
      </c>
      <c r="D1095">
        <v>1200</v>
      </c>
      <c r="E1095">
        <v>78</v>
      </c>
      <c r="F1095">
        <v>170</v>
      </c>
      <c r="G1095">
        <v>12</v>
      </c>
      <c r="H1095">
        <v>18000</v>
      </c>
      <c r="I1095" t="s">
        <v>18</v>
      </c>
      <c r="J1095">
        <v>5</v>
      </c>
      <c r="K1095">
        <v>100</v>
      </c>
    </row>
    <row r="1096" spans="1:11" hidden="1" x14ac:dyDescent="0.25">
      <c r="A1096" t="s">
        <v>351</v>
      </c>
      <c r="B1096" t="s">
        <v>359</v>
      </c>
      <c r="C1096" t="s">
        <v>360</v>
      </c>
      <c r="E1096">
        <v>140</v>
      </c>
      <c r="F1096">
        <v>190</v>
      </c>
      <c r="G1096">
        <v>9.5</v>
      </c>
      <c r="H1096">
        <v>18000</v>
      </c>
      <c r="I1096" t="s">
        <v>18</v>
      </c>
      <c r="J1096">
        <v>5</v>
      </c>
      <c r="K1096">
        <v>175</v>
      </c>
    </row>
    <row r="1097" spans="1:11" hidden="1" x14ac:dyDescent="0.25">
      <c r="A1097" t="s">
        <v>52</v>
      </c>
      <c r="B1097" t="s">
        <v>664</v>
      </c>
      <c r="C1097" t="s">
        <v>337</v>
      </c>
      <c r="D1097">
        <v>1597</v>
      </c>
      <c r="F1097">
        <v>185</v>
      </c>
      <c r="G1097">
        <v>9.6</v>
      </c>
      <c r="H1097">
        <v>18000</v>
      </c>
      <c r="I1097" t="s">
        <v>18</v>
      </c>
      <c r="J1097">
        <v>4</v>
      </c>
      <c r="K1097">
        <v>135</v>
      </c>
    </row>
    <row r="1098" spans="1:11" hidden="1" x14ac:dyDescent="0.25">
      <c r="A1098" t="s">
        <v>351</v>
      </c>
      <c r="B1098" t="s">
        <v>432</v>
      </c>
      <c r="C1098" t="s">
        <v>433</v>
      </c>
      <c r="D1098">
        <v>999</v>
      </c>
      <c r="E1098">
        <v>98</v>
      </c>
      <c r="F1098">
        <v>160</v>
      </c>
      <c r="G1098">
        <v>12.4</v>
      </c>
      <c r="H1098">
        <v>18000</v>
      </c>
      <c r="I1098" t="s">
        <v>18</v>
      </c>
      <c r="J1098">
        <v>4</v>
      </c>
      <c r="K1098">
        <v>95</v>
      </c>
    </row>
    <row r="1099" spans="1:11" hidden="1" x14ac:dyDescent="0.25">
      <c r="A1099" t="s">
        <v>43</v>
      </c>
      <c r="B1099" t="s">
        <v>307</v>
      </c>
      <c r="C1099" t="s">
        <v>308</v>
      </c>
      <c r="D1099">
        <v>998</v>
      </c>
      <c r="E1099">
        <v>71</v>
      </c>
      <c r="F1099">
        <v>160</v>
      </c>
      <c r="G1099">
        <v>14.8</v>
      </c>
      <c r="H1099">
        <v>18000</v>
      </c>
      <c r="I1099" t="s">
        <v>18</v>
      </c>
      <c r="J1099">
        <v>4</v>
      </c>
      <c r="K1099">
        <v>93</v>
      </c>
    </row>
    <row r="1100" spans="1:11" hidden="1" x14ac:dyDescent="0.25">
      <c r="A1100" t="s">
        <v>939</v>
      </c>
      <c r="B1100" t="s">
        <v>981</v>
      </c>
      <c r="C1100" t="s">
        <v>941</v>
      </c>
      <c r="D1100">
        <v>1400</v>
      </c>
      <c r="E1100">
        <v>98</v>
      </c>
      <c r="F1100">
        <v>180</v>
      </c>
      <c r="G1100">
        <v>11</v>
      </c>
      <c r="H1100">
        <v>17595</v>
      </c>
      <c r="I1100" t="s">
        <v>18</v>
      </c>
      <c r="J1100">
        <v>5</v>
      </c>
      <c r="K1100">
        <v>127</v>
      </c>
    </row>
    <row r="1101" spans="1:11" hidden="1" x14ac:dyDescent="0.25">
      <c r="A1101" t="s">
        <v>52</v>
      </c>
      <c r="B1101" t="s">
        <v>586</v>
      </c>
      <c r="C1101" t="s">
        <v>523</v>
      </c>
      <c r="D1101">
        <v>1838</v>
      </c>
      <c r="F1101">
        <v>170</v>
      </c>
      <c r="G1101">
        <v>11.5</v>
      </c>
      <c r="H1101">
        <v>17500</v>
      </c>
      <c r="I1101" t="s">
        <v>18</v>
      </c>
      <c r="J1101">
        <v>5</v>
      </c>
      <c r="K1101">
        <v>161</v>
      </c>
    </row>
    <row r="1102" spans="1:11" hidden="1" x14ac:dyDescent="0.25">
      <c r="A1102" t="s">
        <v>910</v>
      </c>
      <c r="B1102" t="s">
        <v>1529</v>
      </c>
      <c r="C1102" t="s">
        <v>1530</v>
      </c>
      <c r="D1102">
        <v>1800</v>
      </c>
      <c r="E1102">
        <v>135</v>
      </c>
      <c r="F1102">
        <v>180</v>
      </c>
      <c r="G1102">
        <v>10.5</v>
      </c>
      <c r="H1102">
        <v>17500</v>
      </c>
      <c r="I1102" t="s">
        <v>18</v>
      </c>
      <c r="J1102">
        <v>5</v>
      </c>
      <c r="K1102">
        <v>170</v>
      </c>
    </row>
    <row r="1103" spans="1:11" hidden="1" x14ac:dyDescent="0.25">
      <c r="A1103" t="s">
        <v>218</v>
      </c>
      <c r="B1103" t="s">
        <v>1132</v>
      </c>
      <c r="C1103" t="s">
        <v>1082</v>
      </c>
      <c r="D1103">
        <v>1591</v>
      </c>
      <c r="E1103">
        <v>120</v>
      </c>
      <c r="F1103">
        <v>180</v>
      </c>
      <c r="G1103">
        <v>10.3</v>
      </c>
      <c r="H1103">
        <v>17500</v>
      </c>
      <c r="I1103" t="s">
        <v>18</v>
      </c>
      <c r="J1103">
        <v>5</v>
      </c>
      <c r="K1103">
        <v>151</v>
      </c>
    </row>
    <row r="1104" spans="1:11" hidden="1" x14ac:dyDescent="0.25">
      <c r="A1104" t="s">
        <v>1398</v>
      </c>
      <c r="B1104" t="s">
        <v>1421</v>
      </c>
      <c r="C1104" t="s">
        <v>1422</v>
      </c>
      <c r="E1104">
        <v>112</v>
      </c>
      <c r="F1104">
        <v>180</v>
      </c>
      <c r="H1104">
        <v>17500</v>
      </c>
      <c r="I1104" t="s">
        <v>18</v>
      </c>
      <c r="J1104">
        <v>5</v>
      </c>
      <c r="K1104">
        <v>140</v>
      </c>
    </row>
    <row r="1105" spans="1:11" hidden="1" x14ac:dyDescent="0.25">
      <c r="A1105" t="s">
        <v>910</v>
      </c>
      <c r="B1105" t="s">
        <v>1511</v>
      </c>
      <c r="C1105" t="s">
        <v>1512</v>
      </c>
      <c r="D1105">
        <v>1200</v>
      </c>
      <c r="E1105">
        <v>110</v>
      </c>
      <c r="F1105">
        <v>180</v>
      </c>
      <c r="G1105">
        <v>8.9</v>
      </c>
      <c r="H1105">
        <v>17500</v>
      </c>
      <c r="I1105" t="s">
        <v>18</v>
      </c>
      <c r="J1105">
        <v>4</v>
      </c>
      <c r="K1105">
        <v>145</v>
      </c>
    </row>
    <row r="1106" spans="1:11" hidden="1" x14ac:dyDescent="0.25">
      <c r="A1106" t="s">
        <v>218</v>
      </c>
      <c r="B1106" t="s">
        <v>1081</v>
      </c>
      <c r="C1106" t="s">
        <v>1082</v>
      </c>
      <c r="D1106">
        <v>1591</v>
      </c>
      <c r="E1106">
        <v>120</v>
      </c>
      <c r="F1106">
        <v>180</v>
      </c>
      <c r="G1106">
        <v>10.3</v>
      </c>
      <c r="H1106">
        <v>17000</v>
      </c>
      <c r="I1106" t="s">
        <v>18</v>
      </c>
      <c r="J1106">
        <v>5</v>
      </c>
      <c r="K1106">
        <v>151</v>
      </c>
    </row>
    <row r="1107" spans="1:11" hidden="1" x14ac:dyDescent="0.25">
      <c r="A1107" t="s">
        <v>1398</v>
      </c>
      <c r="B1107" t="s">
        <v>1399</v>
      </c>
      <c r="C1107" t="s">
        <v>1400</v>
      </c>
      <c r="D1107">
        <v>1200</v>
      </c>
      <c r="E1107">
        <v>78</v>
      </c>
      <c r="F1107">
        <v>170</v>
      </c>
      <c r="G1107">
        <v>12</v>
      </c>
      <c r="H1107">
        <v>17000</v>
      </c>
      <c r="I1107" t="s">
        <v>18</v>
      </c>
      <c r="J1107">
        <v>5</v>
      </c>
      <c r="K1107">
        <v>100</v>
      </c>
    </row>
    <row r="1108" spans="1:11" hidden="1" x14ac:dyDescent="0.25">
      <c r="A1108" t="s">
        <v>939</v>
      </c>
      <c r="B1108" t="s">
        <v>942</v>
      </c>
      <c r="C1108" t="s">
        <v>943</v>
      </c>
      <c r="D1108">
        <v>1400</v>
      </c>
      <c r="E1108">
        <v>138</v>
      </c>
      <c r="F1108">
        <v>190</v>
      </c>
      <c r="G1108">
        <v>8.5</v>
      </c>
      <c r="H1108">
        <v>16720</v>
      </c>
      <c r="I1108" t="s">
        <v>18</v>
      </c>
      <c r="J1108">
        <v>5</v>
      </c>
      <c r="K1108">
        <v>200</v>
      </c>
    </row>
    <row r="1109" spans="1:11" hidden="1" x14ac:dyDescent="0.25">
      <c r="A1109" t="s">
        <v>52</v>
      </c>
      <c r="B1109" t="s">
        <v>505</v>
      </c>
      <c r="C1109" t="s">
        <v>337</v>
      </c>
      <c r="D1109">
        <v>1598</v>
      </c>
      <c r="F1109">
        <v>180</v>
      </c>
      <c r="G1109">
        <v>10.4</v>
      </c>
      <c r="H1109">
        <v>16700</v>
      </c>
      <c r="I1109" t="s">
        <v>18</v>
      </c>
      <c r="J1109">
        <v>5</v>
      </c>
      <c r="K1109">
        <v>154</v>
      </c>
    </row>
    <row r="1110" spans="1:11" hidden="1" x14ac:dyDescent="0.25">
      <c r="A1110" t="s">
        <v>820</v>
      </c>
      <c r="B1110" t="s">
        <v>869</v>
      </c>
      <c r="C1110" t="s">
        <v>866</v>
      </c>
      <c r="D1110">
        <v>2179</v>
      </c>
      <c r="E1110">
        <v>118</v>
      </c>
      <c r="F1110">
        <v>140</v>
      </c>
      <c r="G1110">
        <v>15</v>
      </c>
      <c r="H1110">
        <v>16500</v>
      </c>
      <c r="I1110" t="s">
        <v>50</v>
      </c>
      <c r="J1110">
        <v>7</v>
      </c>
      <c r="K1110">
        <v>250</v>
      </c>
    </row>
    <row r="1111" spans="1:11" hidden="1" x14ac:dyDescent="0.25">
      <c r="A1111" t="s">
        <v>1398</v>
      </c>
      <c r="B1111" t="s">
        <v>1470</v>
      </c>
      <c r="C1111" t="s">
        <v>1093</v>
      </c>
      <c r="D1111">
        <v>2000</v>
      </c>
      <c r="E1111">
        <v>135</v>
      </c>
      <c r="F1111">
        <v>180</v>
      </c>
      <c r="G1111">
        <v>11.5</v>
      </c>
      <c r="H1111">
        <v>16500</v>
      </c>
      <c r="I1111" t="s">
        <v>18</v>
      </c>
      <c r="J1111">
        <v>7</v>
      </c>
      <c r="K1111">
        <v>181</v>
      </c>
    </row>
    <row r="1112" spans="1:11" hidden="1" x14ac:dyDescent="0.25">
      <c r="A1112" t="s">
        <v>910</v>
      </c>
      <c r="B1112" t="s">
        <v>1555</v>
      </c>
      <c r="C1112" t="s">
        <v>523</v>
      </c>
      <c r="D1112">
        <v>1800</v>
      </c>
      <c r="E1112">
        <v>125</v>
      </c>
      <c r="F1112">
        <v>185</v>
      </c>
      <c r="G1112">
        <v>9</v>
      </c>
      <c r="H1112">
        <v>16500</v>
      </c>
      <c r="I1112" t="s">
        <v>18</v>
      </c>
      <c r="J1112">
        <v>5</v>
      </c>
      <c r="K1112">
        <v>170</v>
      </c>
    </row>
    <row r="1113" spans="1:11" hidden="1" x14ac:dyDescent="0.25">
      <c r="A1113" t="s">
        <v>910</v>
      </c>
      <c r="B1113" t="s">
        <v>1582</v>
      </c>
      <c r="C1113" t="s">
        <v>1554</v>
      </c>
      <c r="D1113">
        <v>1298</v>
      </c>
      <c r="E1113">
        <v>85</v>
      </c>
      <c r="F1113">
        <v>145</v>
      </c>
      <c r="G1113">
        <v>12</v>
      </c>
      <c r="H1113">
        <v>16500</v>
      </c>
      <c r="I1113" t="s">
        <v>18</v>
      </c>
      <c r="J1113">
        <v>5</v>
      </c>
      <c r="K1113">
        <v>130</v>
      </c>
    </row>
    <row r="1114" spans="1:11" hidden="1" x14ac:dyDescent="0.25">
      <c r="A1114" t="s">
        <v>910</v>
      </c>
      <c r="B1114" t="s">
        <v>1592</v>
      </c>
      <c r="C1114" t="s">
        <v>326</v>
      </c>
      <c r="D1114">
        <v>1998</v>
      </c>
      <c r="E1114">
        <v>120</v>
      </c>
      <c r="F1114">
        <v>130</v>
      </c>
      <c r="G1114">
        <v>15</v>
      </c>
      <c r="H1114">
        <v>16500</v>
      </c>
      <c r="I1114" t="s">
        <v>18</v>
      </c>
      <c r="J1114">
        <v>2</v>
      </c>
      <c r="K1114">
        <v>150</v>
      </c>
    </row>
    <row r="1115" spans="1:11" hidden="1" x14ac:dyDescent="0.25">
      <c r="A1115" t="s">
        <v>910</v>
      </c>
      <c r="B1115" t="s">
        <v>1570</v>
      </c>
      <c r="C1115" t="s">
        <v>337</v>
      </c>
      <c r="D1115">
        <v>1590</v>
      </c>
      <c r="E1115">
        <v>116</v>
      </c>
      <c r="F1115">
        <v>180</v>
      </c>
      <c r="G1115">
        <v>9.5</v>
      </c>
      <c r="H1115">
        <v>16500</v>
      </c>
      <c r="I1115" t="s">
        <v>18</v>
      </c>
      <c r="J1115">
        <v>2</v>
      </c>
      <c r="K1115">
        <v>140</v>
      </c>
    </row>
    <row r="1116" spans="1:11" hidden="1" x14ac:dyDescent="0.25">
      <c r="A1116" t="s">
        <v>910</v>
      </c>
      <c r="B1116" t="s">
        <v>1550</v>
      </c>
      <c r="C1116" t="s">
        <v>546</v>
      </c>
      <c r="D1116">
        <v>1500</v>
      </c>
      <c r="E1116">
        <v>75</v>
      </c>
      <c r="F1116">
        <v>120</v>
      </c>
      <c r="G1116">
        <v>18</v>
      </c>
      <c r="H1116">
        <v>16500</v>
      </c>
      <c r="I1116" t="s">
        <v>18</v>
      </c>
      <c r="J1116">
        <v>2</v>
      </c>
      <c r="K1116">
        <v>105</v>
      </c>
    </row>
    <row r="1117" spans="1:11" hidden="1" x14ac:dyDescent="0.25">
      <c r="A1117" t="s">
        <v>276</v>
      </c>
      <c r="B1117" t="s">
        <v>279</v>
      </c>
      <c r="C1117" t="s">
        <v>278</v>
      </c>
      <c r="D1117">
        <v>2179</v>
      </c>
      <c r="E1117">
        <v>140</v>
      </c>
      <c r="F1117">
        <v>160</v>
      </c>
      <c r="G1117">
        <v>11.2</v>
      </c>
      <c r="H1117">
        <v>16400</v>
      </c>
      <c r="I1117" t="s">
        <v>50</v>
      </c>
      <c r="J1117">
        <v>7</v>
      </c>
      <c r="K1117">
        <v>280</v>
      </c>
    </row>
    <row r="1118" spans="1:11" hidden="1" x14ac:dyDescent="0.25">
      <c r="A1118" t="s">
        <v>910</v>
      </c>
      <c r="B1118" t="s">
        <v>1515</v>
      </c>
      <c r="C1118" t="s">
        <v>337</v>
      </c>
      <c r="D1118">
        <v>1600</v>
      </c>
      <c r="E1118">
        <v>105</v>
      </c>
      <c r="F1118">
        <v>180</v>
      </c>
      <c r="G1118">
        <v>10.5</v>
      </c>
      <c r="H1118">
        <v>16000</v>
      </c>
      <c r="I1118" t="s">
        <v>18</v>
      </c>
      <c r="J1118">
        <v>5</v>
      </c>
      <c r="K1118">
        <v>145</v>
      </c>
    </row>
    <row r="1119" spans="1:11" hidden="1" x14ac:dyDescent="0.25">
      <c r="A1119" t="s">
        <v>910</v>
      </c>
      <c r="B1119" t="s">
        <v>1531</v>
      </c>
      <c r="C1119" t="s">
        <v>337</v>
      </c>
      <c r="D1119">
        <v>1600</v>
      </c>
      <c r="E1119">
        <v>110</v>
      </c>
      <c r="F1119">
        <v>175</v>
      </c>
      <c r="G1119">
        <v>11.2</v>
      </c>
      <c r="H1119">
        <v>16000</v>
      </c>
      <c r="I1119" t="s">
        <v>18</v>
      </c>
      <c r="J1119">
        <v>5</v>
      </c>
      <c r="K1119">
        <v>145</v>
      </c>
    </row>
    <row r="1120" spans="1:11" hidden="1" x14ac:dyDescent="0.25">
      <c r="A1120" t="s">
        <v>910</v>
      </c>
      <c r="B1120" t="s">
        <v>1574</v>
      </c>
      <c r="C1120" t="s">
        <v>337</v>
      </c>
      <c r="D1120">
        <v>1600</v>
      </c>
      <c r="E1120">
        <v>100</v>
      </c>
      <c r="F1120">
        <v>170</v>
      </c>
      <c r="G1120">
        <v>12.5</v>
      </c>
      <c r="H1120">
        <v>16000</v>
      </c>
      <c r="I1120" t="s">
        <v>18</v>
      </c>
      <c r="J1120">
        <v>5</v>
      </c>
      <c r="K1120">
        <v>130</v>
      </c>
    </row>
    <row r="1121" spans="1:11" hidden="1" x14ac:dyDescent="0.25">
      <c r="A1121" t="s">
        <v>910</v>
      </c>
      <c r="B1121" t="s">
        <v>1536</v>
      </c>
      <c r="C1121" t="s">
        <v>546</v>
      </c>
      <c r="D1121">
        <v>1500</v>
      </c>
      <c r="E1121">
        <v>113</v>
      </c>
      <c r="F1121">
        <v>170</v>
      </c>
      <c r="G1121">
        <v>11</v>
      </c>
      <c r="H1121">
        <v>16000</v>
      </c>
      <c r="I1121" t="s">
        <v>18</v>
      </c>
      <c r="J1121">
        <v>5</v>
      </c>
      <c r="K1121">
        <v>140</v>
      </c>
    </row>
    <row r="1122" spans="1:11" hidden="1" x14ac:dyDescent="0.25">
      <c r="A1122" t="s">
        <v>52</v>
      </c>
      <c r="B1122" t="s">
        <v>618</v>
      </c>
      <c r="C1122" t="s">
        <v>546</v>
      </c>
      <c r="D1122">
        <v>1498</v>
      </c>
      <c r="F1122">
        <v>165</v>
      </c>
      <c r="G1122">
        <v>12.3</v>
      </c>
      <c r="H1122">
        <v>16000</v>
      </c>
      <c r="I1122" t="s">
        <v>18</v>
      </c>
      <c r="J1122">
        <v>5</v>
      </c>
      <c r="K1122">
        <v>150</v>
      </c>
    </row>
    <row r="1123" spans="1:11" hidden="1" x14ac:dyDescent="0.25">
      <c r="A1123" t="s">
        <v>1398</v>
      </c>
      <c r="B1123" t="s">
        <v>1433</v>
      </c>
      <c r="C1123" t="s">
        <v>1400</v>
      </c>
      <c r="D1123">
        <v>1200</v>
      </c>
      <c r="E1123">
        <v>78</v>
      </c>
      <c r="F1123">
        <v>170</v>
      </c>
      <c r="G1123">
        <v>12</v>
      </c>
      <c r="H1123">
        <v>16000</v>
      </c>
      <c r="I1123" t="s">
        <v>18</v>
      </c>
      <c r="J1123">
        <v>5</v>
      </c>
      <c r="K1123">
        <v>100</v>
      </c>
    </row>
    <row r="1124" spans="1:11" hidden="1" x14ac:dyDescent="0.25">
      <c r="A1124" t="s">
        <v>1398</v>
      </c>
      <c r="B1124" t="s">
        <v>1437</v>
      </c>
      <c r="C1124" t="s">
        <v>1400</v>
      </c>
      <c r="D1124">
        <v>1200</v>
      </c>
      <c r="E1124">
        <v>78</v>
      </c>
      <c r="F1124">
        <v>170</v>
      </c>
      <c r="G1124">
        <v>12.5</v>
      </c>
      <c r="H1124">
        <v>16000</v>
      </c>
      <c r="I1124" t="s">
        <v>18</v>
      </c>
      <c r="J1124">
        <v>5</v>
      </c>
      <c r="K1124">
        <v>100</v>
      </c>
    </row>
    <row r="1125" spans="1:11" hidden="1" x14ac:dyDescent="0.25">
      <c r="A1125" t="s">
        <v>1398</v>
      </c>
      <c r="B1125" t="s">
        <v>1453</v>
      </c>
      <c r="C1125" t="s">
        <v>1400</v>
      </c>
      <c r="D1125">
        <v>1200</v>
      </c>
      <c r="E1125">
        <v>78</v>
      </c>
      <c r="F1125">
        <v>170</v>
      </c>
      <c r="G1125">
        <v>12.5</v>
      </c>
      <c r="H1125">
        <v>16000</v>
      </c>
      <c r="I1125" t="s">
        <v>18</v>
      </c>
      <c r="J1125">
        <v>5</v>
      </c>
      <c r="K1125">
        <v>100</v>
      </c>
    </row>
    <row r="1126" spans="1:11" hidden="1" x14ac:dyDescent="0.25">
      <c r="A1126" t="s">
        <v>52</v>
      </c>
      <c r="B1126" t="s">
        <v>524</v>
      </c>
      <c r="C1126" t="s">
        <v>525</v>
      </c>
      <c r="D1126">
        <v>1198</v>
      </c>
      <c r="F1126">
        <v>170</v>
      </c>
      <c r="G1126">
        <v>11.5</v>
      </c>
      <c r="H1126">
        <v>16000</v>
      </c>
      <c r="I1126" t="s">
        <v>65</v>
      </c>
      <c r="J1126">
        <v>5</v>
      </c>
      <c r="K1126">
        <v>150</v>
      </c>
    </row>
    <row r="1127" spans="1:11" hidden="1" x14ac:dyDescent="0.25">
      <c r="A1127" t="s">
        <v>910</v>
      </c>
      <c r="B1127" t="s">
        <v>1518</v>
      </c>
      <c r="C1127" t="s">
        <v>1519</v>
      </c>
      <c r="D1127">
        <v>1500</v>
      </c>
      <c r="E1127">
        <v>108</v>
      </c>
      <c r="F1127">
        <v>180</v>
      </c>
      <c r="G1127">
        <v>10.199999999999999</v>
      </c>
      <c r="H1127">
        <v>15500</v>
      </c>
      <c r="I1127" t="s">
        <v>18</v>
      </c>
      <c r="J1127">
        <v>5</v>
      </c>
      <c r="K1127">
        <v>142</v>
      </c>
    </row>
    <row r="1128" spans="1:11" hidden="1" x14ac:dyDescent="0.25">
      <c r="A1128" t="s">
        <v>52</v>
      </c>
      <c r="B1128" t="s">
        <v>529</v>
      </c>
      <c r="C1128" t="s">
        <v>530</v>
      </c>
      <c r="D1128">
        <v>1461</v>
      </c>
      <c r="F1128">
        <v>168</v>
      </c>
      <c r="G1128">
        <v>13.5</v>
      </c>
      <c r="H1128">
        <v>15500</v>
      </c>
      <c r="I1128" t="s">
        <v>50</v>
      </c>
      <c r="J1128">
        <v>5</v>
      </c>
      <c r="K1128">
        <v>248</v>
      </c>
    </row>
    <row r="1129" spans="1:11" hidden="1" x14ac:dyDescent="0.25">
      <c r="A1129" t="s">
        <v>52</v>
      </c>
      <c r="B1129" t="s">
        <v>506</v>
      </c>
      <c r="C1129" t="s">
        <v>507</v>
      </c>
      <c r="D1129">
        <v>999</v>
      </c>
      <c r="F1129">
        <v>175</v>
      </c>
      <c r="G1129">
        <v>10.8</v>
      </c>
      <c r="H1129">
        <v>15500</v>
      </c>
      <c r="I1129" t="s">
        <v>18</v>
      </c>
      <c r="J1129">
        <v>5</v>
      </c>
      <c r="K1129">
        <v>160</v>
      </c>
    </row>
    <row r="1130" spans="1:11" hidden="1" x14ac:dyDescent="0.25">
      <c r="A1130" t="s">
        <v>224</v>
      </c>
      <c r="B1130" t="s">
        <v>267</v>
      </c>
      <c r="C1130" t="s">
        <v>45</v>
      </c>
      <c r="D1130">
        <v>1497</v>
      </c>
      <c r="E1130">
        <v>119</v>
      </c>
      <c r="F1130">
        <v>180</v>
      </c>
      <c r="G1130">
        <v>10.199999999999999</v>
      </c>
      <c r="H1130">
        <v>15400</v>
      </c>
      <c r="I1130" t="s">
        <v>241</v>
      </c>
      <c r="J1130">
        <v>5</v>
      </c>
      <c r="K1130">
        <v>145</v>
      </c>
    </row>
    <row r="1131" spans="1:11" hidden="1" x14ac:dyDescent="0.25">
      <c r="A1131" t="s">
        <v>269</v>
      </c>
      <c r="B1131" t="s">
        <v>272</v>
      </c>
      <c r="C1131" t="s">
        <v>273</v>
      </c>
      <c r="D1131">
        <v>1396</v>
      </c>
      <c r="E1131">
        <v>99</v>
      </c>
      <c r="F1131">
        <v>180</v>
      </c>
      <c r="G1131">
        <v>10.5</v>
      </c>
      <c r="H1131">
        <v>15400</v>
      </c>
      <c r="I1131" t="s">
        <v>241</v>
      </c>
      <c r="J1131">
        <v>5</v>
      </c>
      <c r="K1131">
        <v>250</v>
      </c>
    </row>
    <row r="1132" spans="1:11" hidden="1" x14ac:dyDescent="0.25">
      <c r="A1132" t="s">
        <v>820</v>
      </c>
      <c r="B1132" t="s">
        <v>867</v>
      </c>
      <c r="C1132" t="s">
        <v>868</v>
      </c>
      <c r="D1132">
        <v>2956</v>
      </c>
      <c r="E1132">
        <v>85</v>
      </c>
      <c r="F1132">
        <v>125</v>
      </c>
      <c r="G1132">
        <v>17.600000000000001</v>
      </c>
      <c r="H1132">
        <v>15000</v>
      </c>
      <c r="I1132" t="s">
        <v>50</v>
      </c>
      <c r="J1132">
        <v>7</v>
      </c>
      <c r="K1132">
        <v>250</v>
      </c>
    </row>
    <row r="1133" spans="1:11" hidden="1" x14ac:dyDescent="0.25">
      <c r="A1133" t="s">
        <v>52</v>
      </c>
      <c r="B1133" t="s">
        <v>677</v>
      </c>
      <c r="C1133" t="s">
        <v>523</v>
      </c>
      <c r="D1133">
        <v>1769</v>
      </c>
      <c r="F1133">
        <v>180</v>
      </c>
      <c r="G1133">
        <v>12.5</v>
      </c>
      <c r="H1133">
        <v>15000</v>
      </c>
      <c r="I1133" t="s">
        <v>18</v>
      </c>
      <c r="J1133">
        <v>5</v>
      </c>
      <c r="K1133">
        <v>160</v>
      </c>
    </row>
    <row r="1134" spans="1:11" hidden="1" x14ac:dyDescent="0.25">
      <c r="A1134" t="s">
        <v>269</v>
      </c>
      <c r="B1134" t="s">
        <v>336</v>
      </c>
      <c r="C1134" t="s">
        <v>337</v>
      </c>
      <c r="D1134">
        <v>1600</v>
      </c>
      <c r="E1134">
        <v>120</v>
      </c>
      <c r="F1134">
        <v>180</v>
      </c>
      <c r="G1134">
        <v>9.8000000000000007</v>
      </c>
      <c r="H1134">
        <v>15000</v>
      </c>
      <c r="I1134" t="s">
        <v>18</v>
      </c>
      <c r="J1134">
        <v>5</v>
      </c>
      <c r="K1134">
        <v>151</v>
      </c>
    </row>
    <row r="1135" spans="1:11" hidden="1" x14ac:dyDescent="0.25">
      <c r="A1135" t="s">
        <v>52</v>
      </c>
      <c r="B1135" t="s">
        <v>526</v>
      </c>
      <c r="C1135" t="s">
        <v>337</v>
      </c>
      <c r="D1135">
        <v>1598</v>
      </c>
      <c r="F1135">
        <v>180</v>
      </c>
      <c r="G1135">
        <v>11</v>
      </c>
      <c r="H1135">
        <v>15000</v>
      </c>
      <c r="I1135" t="s">
        <v>18</v>
      </c>
      <c r="J1135">
        <v>5</v>
      </c>
      <c r="K1135">
        <v>156</v>
      </c>
    </row>
    <row r="1136" spans="1:11" hidden="1" x14ac:dyDescent="0.25">
      <c r="A1136" t="s">
        <v>910</v>
      </c>
      <c r="B1136" t="s">
        <v>1587</v>
      </c>
      <c r="C1136" t="s">
        <v>337</v>
      </c>
      <c r="D1136">
        <v>1598</v>
      </c>
      <c r="E1136">
        <v>105</v>
      </c>
      <c r="F1136">
        <v>170</v>
      </c>
      <c r="G1136">
        <v>10</v>
      </c>
      <c r="H1136">
        <v>15000</v>
      </c>
      <c r="I1136" t="s">
        <v>18</v>
      </c>
      <c r="J1136">
        <v>5</v>
      </c>
      <c r="K1136">
        <v>135</v>
      </c>
    </row>
    <row r="1137" spans="1:11" hidden="1" x14ac:dyDescent="0.25">
      <c r="A1137" t="s">
        <v>351</v>
      </c>
      <c r="B1137" t="s">
        <v>415</v>
      </c>
      <c r="C1137" t="s">
        <v>416</v>
      </c>
      <c r="D1137">
        <v>1498</v>
      </c>
      <c r="E1137">
        <v>110</v>
      </c>
      <c r="F1137">
        <v>190</v>
      </c>
      <c r="G1137">
        <v>12.9</v>
      </c>
      <c r="H1137">
        <v>15000</v>
      </c>
      <c r="I1137" t="s">
        <v>18</v>
      </c>
      <c r="J1137">
        <v>5</v>
      </c>
      <c r="K1137">
        <v>145</v>
      </c>
    </row>
    <row r="1138" spans="1:11" hidden="1" x14ac:dyDescent="0.25">
      <c r="A1138" t="s">
        <v>351</v>
      </c>
      <c r="B1138" t="s">
        <v>363</v>
      </c>
      <c r="C1138" t="s">
        <v>132</v>
      </c>
      <c r="E1138">
        <v>82</v>
      </c>
      <c r="F1138">
        <v>160</v>
      </c>
      <c r="G1138">
        <v>13</v>
      </c>
      <c r="H1138">
        <v>15000</v>
      </c>
      <c r="I1138" t="s">
        <v>18</v>
      </c>
      <c r="J1138">
        <v>4</v>
      </c>
      <c r="K1138">
        <v>95</v>
      </c>
    </row>
    <row r="1139" spans="1:11" hidden="1" x14ac:dyDescent="0.25">
      <c r="A1139" t="s">
        <v>351</v>
      </c>
      <c r="B1139" t="s">
        <v>407</v>
      </c>
      <c r="C1139" t="s">
        <v>408</v>
      </c>
      <c r="E1139">
        <v>68</v>
      </c>
      <c r="F1139">
        <v>170</v>
      </c>
      <c r="G1139">
        <v>14.3</v>
      </c>
      <c r="H1139">
        <v>15000</v>
      </c>
      <c r="I1139" t="s">
        <v>18</v>
      </c>
      <c r="J1139">
        <v>4</v>
      </c>
      <c r="K1139">
        <v>120</v>
      </c>
    </row>
    <row r="1140" spans="1:11" hidden="1" x14ac:dyDescent="0.25">
      <c r="A1140" t="s">
        <v>910</v>
      </c>
      <c r="B1140" t="s">
        <v>1533</v>
      </c>
      <c r="C1140" t="s">
        <v>1534</v>
      </c>
      <c r="D1140">
        <v>657</v>
      </c>
      <c r="E1140">
        <v>63</v>
      </c>
      <c r="F1140">
        <v>140</v>
      </c>
      <c r="G1140">
        <v>11</v>
      </c>
      <c r="H1140">
        <v>15000</v>
      </c>
      <c r="I1140" t="s">
        <v>18</v>
      </c>
      <c r="J1140">
        <v>2</v>
      </c>
      <c r="K1140">
        <v>85</v>
      </c>
    </row>
    <row r="1141" spans="1:11" hidden="1" x14ac:dyDescent="0.25">
      <c r="A1141" t="s">
        <v>939</v>
      </c>
      <c r="B1141" t="s">
        <v>940</v>
      </c>
      <c r="C1141" t="s">
        <v>941</v>
      </c>
      <c r="D1141">
        <v>1400</v>
      </c>
      <c r="E1141">
        <v>98</v>
      </c>
      <c r="F1141">
        <v>180</v>
      </c>
      <c r="G1141">
        <v>10.7</v>
      </c>
      <c r="H1141">
        <v>14595</v>
      </c>
      <c r="I1141" t="s">
        <v>18</v>
      </c>
      <c r="J1141">
        <v>5</v>
      </c>
      <c r="K1141">
        <v>127</v>
      </c>
    </row>
    <row r="1142" spans="1:11" hidden="1" x14ac:dyDescent="0.25">
      <c r="A1142" t="s">
        <v>52</v>
      </c>
      <c r="B1142" t="s">
        <v>527</v>
      </c>
      <c r="C1142" t="s">
        <v>523</v>
      </c>
      <c r="D1142">
        <v>1798</v>
      </c>
      <c r="F1142">
        <v>175</v>
      </c>
      <c r="G1142">
        <v>10.6</v>
      </c>
      <c r="H1142">
        <v>14500</v>
      </c>
      <c r="I1142" t="s">
        <v>18</v>
      </c>
      <c r="J1142">
        <v>5</v>
      </c>
      <c r="K1142">
        <v>171</v>
      </c>
    </row>
    <row r="1143" spans="1:11" hidden="1" x14ac:dyDescent="0.25">
      <c r="A1143" t="s">
        <v>52</v>
      </c>
      <c r="B1143" t="s">
        <v>542</v>
      </c>
      <c r="C1143" t="s">
        <v>337</v>
      </c>
      <c r="D1143">
        <v>1598</v>
      </c>
      <c r="F1143">
        <v>190</v>
      </c>
      <c r="G1143">
        <v>10.1</v>
      </c>
      <c r="H1143">
        <v>14500</v>
      </c>
      <c r="I1143" t="s">
        <v>18</v>
      </c>
      <c r="J1143">
        <v>5</v>
      </c>
      <c r="K1143">
        <v>154</v>
      </c>
    </row>
    <row r="1144" spans="1:11" hidden="1" x14ac:dyDescent="0.25">
      <c r="A1144" t="s">
        <v>910</v>
      </c>
      <c r="B1144" t="s">
        <v>1585</v>
      </c>
      <c r="C1144" t="s">
        <v>546</v>
      </c>
      <c r="D1144">
        <v>1497</v>
      </c>
      <c r="E1144">
        <v>92</v>
      </c>
      <c r="F1144">
        <v>160</v>
      </c>
      <c r="G1144">
        <v>13.5</v>
      </c>
      <c r="H1144">
        <v>14500</v>
      </c>
      <c r="I1144" t="s">
        <v>18</v>
      </c>
      <c r="J1144">
        <v>5</v>
      </c>
      <c r="K1144">
        <v>130</v>
      </c>
    </row>
    <row r="1145" spans="1:11" hidden="1" x14ac:dyDescent="0.25">
      <c r="A1145" t="s">
        <v>52</v>
      </c>
      <c r="B1145" t="s">
        <v>521</v>
      </c>
      <c r="C1145" t="s">
        <v>507</v>
      </c>
      <c r="D1145">
        <v>999</v>
      </c>
      <c r="F1145">
        <v>185</v>
      </c>
      <c r="G1145">
        <v>10.7</v>
      </c>
      <c r="H1145">
        <v>14500</v>
      </c>
      <c r="I1145" t="s">
        <v>18</v>
      </c>
      <c r="J1145">
        <v>5</v>
      </c>
      <c r="K1145">
        <v>160</v>
      </c>
    </row>
    <row r="1146" spans="1:11" hidden="1" x14ac:dyDescent="0.25">
      <c r="A1146" t="s">
        <v>820</v>
      </c>
      <c r="B1146" t="s">
        <v>841</v>
      </c>
      <c r="C1146" t="s">
        <v>824</v>
      </c>
      <c r="E1146">
        <v>74</v>
      </c>
      <c r="F1146">
        <v>120</v>
      </c>
      <c r="G1146">
        <v>5.7</v>
      </c>
      <c r="H1146">
        <v>14500</v>
      </c>
      <c r="I1146" t="s">
        <v>132</v>
      </c>
      <c r="J1146">
        <v>5</v>
      </c>
      <c r="K1146">
        <v>114</v>
      </c>
    </row>
    <row r="1147" spans="1:11" hidden="1" x14ac:dyDescent="0.25">
      <c r="A1147" t="s">
        <v>281</v>
      </c>
      <c r="B1147" t="s">
        <v>284</v>
      </c>
      <c r="C1147" t="s">
        <v>285</v>
      </c>
      <c r="D1147">
        <v>1462</v>
      </c>
      <c r="E1147">
        <v>103</v>
      </c>
      <c r="F1147">
        <v>180</v>
      </c>
      <c r="G1147">
        <v>11.5</v>
      </c>
      <c r="H1147">
        <v>14400</v>
      </c>
      <c r="I1147" t="s">
        <v>18</v>
      </c>
      <c r="J1147">
        <v>5</v>
      </c>
      <c r="K1147">
        <v>200</v>
      </c>
    </row>
    <row r="1148" spans="1:11" hidden="1" x14ac:dyDescent="0.25">
      <c r="A1148" t="s">
        <v>939</v>
      </c>
      <c r="B1148" t="s">
        <v>990</v>
      </c>
      <c r="C1148" t="s">
        <v>941</v>
      </c>
      <c r="D1148">
        <v>1400</v>
      </c>
      <c r="E1148">
        <v>98</v>
      </c>
      <c r="F1148">
        <v>180</v>
      </c>
      <c r="G1148">
        <v>10.9</v>
      </c>
      <c r="H1148">
        <v>14395</v>
      </c>
      <c r="I1148" t="s">
        <v>18</v>
      </c>
      <c r="J1148">
        <v>5</v>
      </c>
      <c r="K1148">
        <v>127</v>
      </c>
    </row>
    <row r="1149" spans="1:11" hidden="1" x14ac:dyDescent="0.25">
      <c r="A1149" t="s">
        <v>52</v>
      </c>
      <c r="B1149" t="s">
        <v>555</v>
      </c>
      <c r="C1149" t="s">
        <v>337</v>
      </c>
      <c r="D1149">
        <v>1598</v>
      </c>
      <c r="F1149">
        <v>165</v>
      </c>
      <c r="G1149">
        <v>12.5</v>
      </c>
      <c r="H1149">
        <v>14000</v>
      </c>
      <c r="I1149" t="s">
        <v>18</v>
      </c>
      <c r="J1149">
        <v>5</v>
      </c>
      <c r="K1149">
        <v>145</v>
      </c>
    </row>
    <row r="1150" spans="1:11" hidden="1" x14ac:dyDescent="0.25">
      <c r="A1150" t="s">
        <v>910</v>
      </c>
      <c r="B1150" t="s">
        <v>1516</v>
      </c>
      <c r="C1150" t="s">
        <v>546</v>
      </c>
      <c r="D1150">
        <v>1500</v>
      </c>
      <c r="E1150">
        <v>100</v>
      </c>
      <c r="F1150">
        <v>175</v>
      </c>
      <c r="G1150">
        <v>11</v>
      </c>
      <c r="H1150">
        <v>14000</v>
      </c>
      <c r="I1150" t="s">
        <v>18</v>
      </c>
      <c r="J1150">
        <v>5</v>
      </c>
      <c r="K1150">
        <v>135</v>
      </c>
    </row>
    <row r="1151" spans="1:11" hidden="1" x14ac:dyDescent="0.25">
      <c r="A1151" t="s">
        <v>52</v>
      </c>
      <c r="B1151" t="s">
        <v>611</v>
      </c>
      <c r="C1151" t="s">
        <v>612</v>
      </c>
      <c r="D1151">
        <v>1397</v>
      </c>
      <c r="F1151">
        <v>145</v>
      </c>
      <c r="G1151">
        <v>14</v>
      </c>
      <c r="H1151">
        <v>14000</v>
      </c>
      <c r="I1151" t="s">
        <v>18</v>
      </c>
      <c r="J1151">
        <v>5</v>
      </c>
      <c r="K1151">
        <v>110</v>
      </c>
    </row>
    <row r="1152" spans="1:11" hidden="1" x14ac:dyDescent="0.25">
      <c r="A1152" t="s">
        <v>351</v>
      </c>
      <c r="B1152" t="s">
        <v>417</v>
      </c>
      <c r="C1152" t="s">
        <v>418</v>
      </c>
      <c r="E1152">
        <v>95</v>
      </c>
      <c r="F1152">
        <v>170</v>
      </c>
      <c r="G1152">
        <v>10.8</v>
      </c>
      <c r="H1152">
        <v>14000</v>
      </c>
      <c r="I1152" t="s">
        <v>18</v>
      </c>
      <c r="J1152">
        <v>5</v>
      </c>
      <c r="K1152">
        <v>132</v>
      </c>
    </row>
    <row r="1153" spans="1:11" hidden="1" x14ac:dyDescent="0.25">
      <c r="A1153" t="s">
        <v>820</v>
      </c>
      <c r="B1153" t="s">
        <v>855</v>
      </c>
      <c r="C1153" t="s">
        <v>856</v>
      </c>
      <c r="F1153">
        <v>180</v>
      </c>
      <c r="G1153">
        <v>10</v>
      </c>
      <c r="H1153">
        <v>14000</v>
      </c>
      <c r="I1153" t="s">
        <v>215</v>
      </c>
      <c r="J1153">
        <v>5</v>
      </c>
      <c r="K1153">
        <v>215</v>
      </c>
    </row>
    <row r="1154" spans="1:11" hidden="1" x14ac:dyDescent="0.25">
      <c r="A1154" t="s">
        <v>910</v>
      </c>
      <c r="B1154" t="s">
        <v>1561</v>
      </c>
      <c r="C1154" t="s">
        <v>546</v>
      </c>
      <c r="D1154">
        <v>1500</v>
      </c>
      <c r="E1154">
        <v>85</v>
      </c>
      <c r="F1154">
        <v>145</v>
      </c>
      <c r="G1154">
        <v>14</v>
      </c>
      <c r="H1154">
        <v>13500</v>
      </c>
      <c r="I1154" t="s">
        <v>18</v>
      </c>
      <c r="J1154">
        <v>5</v>
      </c>
      <c r="K1154">
        <v>120</v>
      </c>
    </row>
    <row r="1155" spans="1:11" hidden="1" x14ac:dyDescent="0.25">
      <c r="A1155" t="s">
        <v>910</v>
      </c>
      <c r="B1155" t="s">
        <v>1558</v>
      </c>
      <c r="C1155" t="s">
        <v>1554</v>
      </c>
      <c r="D1155">
        <v>1300</v>
      </c>
      <c r="E1155">
        <v>70</v>
      </c>
      <c r="F1155">
        <v>155</v>
      </c>
      <c r="G1155">
        <v>13</v>
      </c>
      <c r="H1155">
        <v>13500</v>
      </c>
      <c r="I1155" t="s">
        <v>18</v>
      </c>
      <c r="J1155">
        <v>5</v>
      </c>
      <c r="K1155">
        <v>110</v>
      </c>
    </row>
    <row r="1156" spans="1:11" hidden="1" x14ac:dyDescent="0.25">
      <c r="A1156" t="s">
        <v>19</v>
      </c>
      <c r="B1156" t="s">
        <v>20</v>
      </c>
      <c r="C1156" t="s">
        <v>21</v>
      </c>
      <c r="D1156">
        <v>1200</v>
      </c>
      <c r="E1156">
        <v>78</v>
      </c>
      <c r="F1156">
        <v>165</v>
      </c>
      <c r="G1156">
        <v>10.5</v>
      </c>
      <c r="H1156">
        <v>13500</v>
      </c>
      <c r="I1156" t="s">
        <v>18</v>
      </c>
      <c r="J1156">
        <v>5</v>
      </c>
      <c r="K1156">
        <v>120</v>
      </c>
    </row>
    <row r="1157" spans="1:11" hidden="1" x14ac:dyDescent="0.25">
      <c r="A1157" t="s">
        <v>1398</v>
      </c>
      <c r="B1157" t="s">
        <v>1469</v>
      </c>
      <c r="C1157" t="s">
        <v>1463</v>
      </c>
      <c r="D1157">
        <v>660</v>
      </c>
      <c r="E1157">
        <v>64</v>
      </c>
      <c r="F1157">
        <v>130</v>
      </c>
      <c r="G1157">
        <v>15.5</v>
      </c>
      <c r="H1157">
        <v>13500</v>
      </c>
      <c r="I1157" t="s">
        <v>18</v>
      </c>
      <c r="J1157">
        <v>4</v>
      </c>
      <c r="K1157">
        <v>94</v>
      </c>
    </row>
    <row r="1158" spans="1:11" hidden="1" x14ac:dyDescent="0.25">
      <c r="A1158" t="s">
        <v>1398</v>
      </c>
      <c r="B1158" t="s">
        <v>1474</v>
      </c>
      <c r="C1158" t="s">
        <v>1463</v>
      </c>
      <c r="D1158">
        <v>660</v>
      </c>
      <c r="E1158">
        <v>64</v>
      </c>
      <c r="F1158">
        <v>140</v>
      </c>
      <c r="G1158">
        <v>13.5</v>
      </c>
      <c r="H1158">
        <v>13500</v>
      </c>
      <c r="I1158" t="s">
        <v>18</v>
      </c>
      <c r="J1158">
        <v>4</v>
      </c>
      <c r="K1158">
        <v>94</v>
      </c>
    </row>
    <row r="1159" spans="1:11" hidden="1" x14ac:dyDescent="0.25">
      <c r="A1159" t="s">
        <v>910</v>
      </c>
      <c r="B1159" t="s">
        <v>1588</v>
      </c>
      <c r="C1159" t="s">
        <v>546</v>
      </c>
      <c r="D1159">
        <v>1497</v>
      </c>
      <c r="E1159">
        <v>95</v>
      </c>
      <c r="F1159">
        <v>130</v>
      </c>
      <c r="G1159">
        <v>14</v>
      </c>
      <c r="H1159">
        <v>13500</v>
      </c>
      <c r="I1159" t="s">
        <v>18</v>
      </c>
      <c r="J1159">
        <v>2</v>
      </c>
      <c r="K1159">
        <v>130</v>
      </c>
    </row>
    <row r="1160" spans="1:11" hidden="1" x14ac:dyDescent="0.25">
      <c r="A1160" t="s">
        <v>52</v>
      </c>
      <c r="B1160" t="s">
        <v>545</v>
      </c>
      <c r="C1160" t="s">
        <v>546</v>
      </c>
      <c r="D1160">
        <v>1498</v>
      </c>
      <c r="F1160">
        <v>175</v>
      </c>
      <c r="G1160">
        <v>11.5</v>
      </c>
      <c r="H1160">
        <v>13000</v>
      </c>
      <c r="I1160" t="s">
        <v>18</v>
      </c>
      <c r="J1160">
        <v>5</v>
      </c>
      <c r="K1160">
        <v>139</v>
      </c>
    </row>
    <row r="1161" spans="1:11" hidden="1" x14ac:dyDescent="0.25">
      <c r="A1161" t="s">
        <v>269</v>
      </c>
      <c r="B1161" t="s">
        <v>270</v>
      </c>
      <c r="C1161" t="s">
        <v>271</v>
      </c>
      <c r="D1161">
        <v>1197</v>
      </c>
      <c r="E1161">
        <v>87</v>
      </c>
      <c r="F1161">
        <v>160</v>
      </c>
      <c r="G1161">
        <v>12.2</v>
      </c>
      <c r="H1161">
        <v>12400</v>
      </c>
      <c r="I1161" t="s">
        <v>18</v>
      </c>
      <c r="J1161">
        <v>5</v>
      </c>
      <c r="K1161">
        <v>120</v>
      </c>
    </row>
    <row r="1162" spans="1:11" hidden="1" x14ac:dyDescent="0.25">
      <c r="A1162" t="s">
        <v>52</v>
      </c>
      <c r="B1162" t="s">
        <v>678</v>
      </c>
      <c r="C1162" t="s">
        <v>337</v>
      </c>
      <c r="D1162">
        <v>1597</v>
      </c>
      <c r="F1162">
        <v>185</v>
      </c>
      <c r="G1162">
        <v>10.5</v>
      </c>
      <c r="H1162">
        <v>12000</v>
      </c>
      <c r="I1162" t="s">
        <v>18</v>
      </c>
      <c r="J1162">
        <v>5</v>
      </c>
      <c r="K1162">
        <v>150</v>
      </c>
    </row>
    <row r="1163" spans="1:11" hidden="1" x14ac:dyDescent="0.25">
      <c r="A1163" t="s">
        <v>820</v>
      </c>
      <c r="B1163" t="s">
        <v>828</v>
      </c>
      <c r="C1163" t="s">
        <v>829</v>
      </c>
      <c r="D1163">
        <v>1199</v>
      </c>
      <c r="E1163">
        <v>110</v>
      </c>
      <c r="F1163">
        <v>180</v>
      </c>
      <c r="G1163">
        <v>10</v>
      </c>
      <c r="H1163">
        <v>12000</v>
      </c>
      <c r="I1163" t="s">
        <v>18</v>
      </c>
      <c r="J1163">
        <v>5</v>
      </c>
      <c r="K1163">
        <v>140</v>
      </c>
    </row>
    <row r="1164" spans="1:11" hidden="1" x14ac:dyDescent="0.25">
      <c r="A1164" t="s">
        <v>52</v>
      </c>
      <c r="B1164" t="s">
        <v>548</v>
      </c>
      <c r="C1164" t="s">
        <v>549</v>
      </c>
      <c r="D1164">
        <v>1198</v>
      </c>
      <c r="F1164">
        <v>170</v>
      </c>
      <c r="G1164">
        <v>13.7</v>
      </c>
      <c r="H1164">
        <v>12000</v>
      </c>
      <c r="I1164" t="s">
        <v>18</v>
      </c>
      <c r="J1164">
        <v>5</v>
      </c>
      <c r="K1164">
        <v>106</v>
      </c>
    </row>
    <row r="1165" spans="1:11" hidden="1" x14ac:dyDescent="0.25">
      <c r="A1165" t="s">
        <v>52</v>
      </c>
      <c r="B1165" t="s">
        <v>531</v>
      </c>
      <c r="C1165" t="s">
        <v>507</v>
      </c>
      <c r="D1165">
        <v>999</v>
      </c>
      <c r="F1165">
        <v>160</v>
      </c>
      <c r="G1165">
        <v>13</v>
      </c>
      <c r="H1165">
        <v>12000</v>
      </c>
      <c r="I1165" t="s">
        <v>18</v>
      </c>
      <c r="J1165">
        <v>5</v>
      </c>
      <c r="K1165">
        <v>160</v>
      </c>
    </row>
    <row r="1166" spans="1:11" hidden="1" x14ac:dyDescent="0.25">
      <c r="A1166" t="s">
        <v>351</v>
      </c>
      <c r="B1166" t="s">
        <v>421</v>
      </c>
      <c r="C1166" t="s">
        <v>422</v>
      </c>
      <c r="E1166">
        <v>65</v>
      </c>
      <c r="F1166">
        <v>148</v>
      </c>
      <c r="G1166">
        <v>17.5</v>
      </c>
      <c r="H1166">
        <v>12000</v>
      </c>
      <c r="I1166" t="s">
        <v>18</v>
      </c>
      <c r="J1166">
        <v>5</v>
      </c>
      <c r="K1166">
        <v>93</v>
      </c>
    </row>
    <row r="1167" spans="1:11" hidden="1" x14ac:dyDescent="0.25">
      <c r="A1167" t="s">
        <v>820</v>
      </c>
      <c r="B1167" t="s">
        <v>830</v>
      </c>
      <c r="C1167" t="s">
        <v>831</v>
      </c>
      <c r="D1167">
        <v>1199</v>
      </c>
      <c r="E1167">
        <v>86</v>
      </c>
      <c r="F1167">
        <v>165</v>
      </c>
      <c r="G1167">
        <v>12</v>
      </c>
      <c r="H1167">
        <v>11800</v>
      </c>
      <c r="I1167" t="s">
        <v>832</v>
      </c>
      <c r="J1167">
        <v>5</v>
      </c>
      <c r="K1167">
        <v>113</v>
      </c>
    </row>
    <row r="1168" spans="1:11" hidden="1" x14ac:dyDescent="0.25">
      <c r="A1168" t="s">
        <v>281</v>
      </c>
      <c r="B1168" t="s">
        <v>283</v>
      </c>
      <c r="C1168" t="s">
        <v>271</v>
      </c>
      <c r="D1168">
        <v>1197</v>
      </c>
      <c r="E1168">
        <v>83</v>
      </c>
      <c r="F1168">
        <v>160</v>
      </c>
      <c r="G1168">
        <v>12.2</v>
      </c>
      <c r="H1168">
        <v>11400</v>
      </c>
      <c r="I1168" t="s">
        <v>215</v>
      </c>
      <c r="J1168">
        <v>5</v>
      </c>
      <c r="K1168">
        <v>113</v>
      </c>
    </row>
    <row r="1169" spans="1:11" hidden="1" x14ac:dyDescent="0.25">
      <c r="A1169" t="s">
        <v>820</v>
      </c>
      <c r="B1169" t="s">
        <v>827</v>
      </c>
      <c r="C1169" t="s">
        <v>822</v>
      </c>
      <c r="D1169">
        <v>1199</v>
      </c>
      <c r="E1169">
        <v>86</v>
      </c>
      <c r="F1169">
        <v>170</v>
      </c>
      <c r="G1169">
        <v>12.5</v>
      </c>
      <c r="H1169">
        <v>11300</v>
      </c>
      <c r="I1169" t="s">
        <v>18</v>
      </c>
      <c r="J1169">
        <v>5</v>
      </c>
      <c r="K1169">
        <v>113</v>
      </c>
    </row>
    <row r="1170" spans="1:11" hidden="1" x14ac:dyDescent="0.25">
      <c r="A1170" t="s">
        <v>910</v>
      </c>
      <c r="B1170" t="s">
        <v>1553</v>
      </c>
      <c r="C1170" t="s">
        <v>1554</v>
      </c>
      <c r="D1170">
        <v>1300</v>
      </c>
      <c r="E1170">
        <v>75</v>
      </c>
      <c r="F1170">
        <v>130</v>
      </c>
      <c r="G1170">
        <v>15.5</v>
      </c>
      <c r="H1170">
        <v>11000</v>
      </c>
      <c r="I1170" t="s">
        <v>18</v>
      </c>
      <c r="J1170">
        <v>5</v>
      </c>
      <c r="K1170">
        <v>110</v>
      </c>
    </row>
    <row r="1171" spans="1:11" hidden="1" x14ac:dyDescent="0.25">
      <c r="A1171" t="s">
        <v>820</v>
      </c>
      <c r="B1171" t="s">
        <v>823</v>
      </c>
      <c r="C1171" t="s">
        <v>824</v>
      </c>
      <c r="E1171">
        <v>74</v>
      </c>
      <c r="F1171">
        <v>120</v>
      </c>
      <c r="G1171">
        <v>5.7</v>
      </c>
      <c r="H1171">
        <v>11000</v>
      </c>
      <c r="I1171" t="s">
        <v>132</v>
      </c>
      <c r="J1171">
        <v>5</v>
      </c>
      <c r="K1171">
        <v>114</v>
      </c>
    </row>
    <row r="1172" spans="1:11" hidden="1" x14ac:dyDescent="0.25">
      <c r="A1172" t="s">
        <v>910</v>
      </c>
      <c r="B1172" t="s">
        <v>1559</v>
      </c>
      <c r="C1172" t="s">
        <v>1560</v>
      </c>
      <c r="D1172">
        <v>1200</v>
      </c>
      <c r="E1172">
        <v>60</v>
      </c>
      <c r="F1172">
        <v>130</v>
      </c>
      <c r="G1172">
        <v>16</v>
      </c>
      <c r="H1172">
        <v>11000</v>
      </c>
      <c r="I1172" t="s">
        <v>18</v>
      </c>
      <c r="J1172">
        <v>4</v>
      </c>
      <c r="K1172">
        <v>90</v>
      </c>
    </row>
    <row r="1173" spans="1:11" hidden="1" x14ac:dyDescent="0.25">
      <c r="A1173" t="s">
        <v>1398</v>
      </c>
      <c r="B1173" t="s">
        <v>1462</v>
      </c>
      <c r="C1173" t="s">
        <v>1463</v>
      </c>
      <c r="D1173">
        <v>660</v>
      </c>
      <c r="E1173">
        <v>52</v>
      </c>
      <c r="F1173">
        <v>130</v>
      </c>
      <c r="G1173">
        <v>15</v>
      </c>
      <c r="H1173">
        <v>11000</v>
      </c>
      <c r="I1173" t="s">
        <v>18</v>
      </c>
      <c r="J1173">
        <v>4</v>
      </c>
      <c r="K1173">
        <v>60</v>
      </c>
    </row>
    <row r="1174" spans="1:11" hidden="1" x14ac:dyDescent="0.25">
      <c r="A1174" t="s">
        <v>1398</v>
      </c>
      <c r="B1174" t="s">
        <v>1473</v>
      </c>
      <c r="C1174" t="s">
        <v>1463</v>
      </c>
      <c r="D1174">
        <v>660</v>
      </c>
      <c r="E1174">
        <v>52</v>
      </c>
      <c r="F1174">
        <v>130</v>
      </c>
      <c r="G1174">
        <v>15</v>
      </c>
      <c r="H1174">
        <v>11000</v>
      </c>
      <c r="I1174" t="s">
        <v>18</v>
      </c>
      <c r="J1174">
        <v>4</v>
      </c>
      <c r="K1174">
        <v>60</v>
      </c>
    </row>
    <row r="1175" spans="1:11" hidden="1" x14ac:dyDescent="0.25">
      <c r="A1175" t="s">
        <v>1398</v>
      </c>
      <c r="B1175" t="s">
        <v>1481</v>
      </c>
      <c r="C1175" t="s">
        <v>1463</v>
      </c>
      <c r="D1175">
        <v>660</v>
      </c>
      <c r="E1175">
        <v>48</v>
      </c>
      <c r="F1175">
        <v>120</v>
      </c>
      <c r="G1175">
        <v>16</v>
      </c>
      <c r="H1175">
        <v>11000</v>
      </c>
      <c r="I1175" t="s">
        <v>18</v>
      </c>
      <c r="J1175">
        <v>4</v>
      </c>
      <c r="K1175">
        <v>60</v>
      </c>
    </row>
    <row r="1176" spans="1:11" hidden="1" x14ac:dyDescent="0.25">
      <c r="A1176" t="s">
        <v>910</v>
      </c>
      <c r="B1176" t="s">
        <v>1583</v>
      </c>
      <c r="C1176" t="s">
        <v>1584</v>
      </c>
      <c r="D1176">
        <v>657</v>
      </c>
      <c r="E1176">
        <v>64</v>
      </c>
      <c r="F1176">
        <v>120</v>
      </c>
      <c r="G1176">
        <v>15.5</v>
      </c>
      <c r="H1176">
        <v>11000</v>
      </c>
      <c r="I1176" t="s">
        <v>18</v>
      </c>
      <c r="J1176">
        <v>4</v>
      </c>
      <c r="K1176">
        <v>95</v>
      </c>
    </row>
    <row r="1177" spans="1:11" hidden="1" x14ac:dyDescent="0.25">
      <c r="A1177" t="s">
        <v>820</v>
      </c>
      <c r="B1177" t="s">
        <v>861</v>
      </c>
      <c r="C1177" t="s">
        <v>862</v>
      </c>
      <c r="D1177">
        <v>1199</v>
      </c>
      <c r="E1177">
        <v>86</v>
      </c>
      <c r="F1177">
        <v>160</v>
      </c>
      <c r="G1177">
        <v>16</v>
      </c>
      <c r="H1177">
        <v>10500</v>
      </c>
      <c r="I1177" t="s">
        <v>18</v>
      </c>
      <c r="J1177">
        <v>5</v>
      </c>
      <c r="K1177">
        <v>113</v>
      </c>
    </row>
    <row r="1178" spans="1:11" hidden="1" x14ac:dyDescent="0.25">
      <c r="A1178" t="s">
        <v>910</v>
      </c>
      <c r="B1178" t="s">
        <v>1532</v>
      </c>
      <c r="C1178" t="s">
        <v>643</v>
      </c>
      <c r="D1178">
        <v>660</v>
      </c>
      <c r="E1178">
        <v>63</v>
      </c>
      <c r="F1178">
        <v>140</v>
      </c>
      <c r="G1178">
        <v>15.5</v>
      </c>
      <c r="H1178">
        <v>10500</v>
      </c>
      <c r="I1178" t="s">
        <v>18</v>
      </c>
      <c r="J1178">
        <v>4</v>
      </c>
      <c r="K1178">
        <v>90</v>
      </c>
    </row>
    <row r="1179" spans="1:11" hidden="1" x14ac:dyDescent="0.25">
      <c r="A1179" t="s">
        <v>281</v>
      </c>
      <c r="B1179" t="s">
        <v>282</v>
      </c>
      <c r="C1179" t="s">
        <v>271</v>
      </c>
      <c r="D1179">
        <v>1197</v>
      </c>
      <c r="E1179">
        <v>83</v>
      </c>
      <c r="F1179">
        <v>160</v>
      </c>
      <c r="G1179">
        <v>12.2</v>
      </c>
      <c r="H1179">
        <v>10400</v>
      </c>
      <c r="I1179" t="s">
        <v>18</v>
      </c>
      <c r="J1179">
        <v>5</v>
      </c>
      <c r="K1179">
        <v>113</v>
      </c>
    </row>
    <row r="1180" spans="1:11" hidden="1" x14ac:dyDescent="0.25">
      <c r="A1180" t="s">
        <v>820</v>
      </c>
      <c r="B1180" t="s">
        <v>825</v>
      </c>
      <c r="C1180" t="s">
        <v>826</v>
      </c>
      <c r="F1180">
        <v>170</v>
      </c>
      <c r="G1180">
        <v>12</v>
      </c>
      <c r="H1180">
        <v>10400</v>
      </c>
      <c r="I1180" t="s">
        <v>215</v>
      </c>
      <c r="J1180">
        <v>5</v>
      </c>
      <c r="K1180">
        <v>156</v>
      </c>
    </row>
    <row r="1181" spans="1:11" hidden="1" x14ac:dyDescent="0.25">
      <c r="A1181" t="s">
        <v>52</v>
      </c>
      <c r="B1181" t="s">
        <v>679</v>
      </c>
      <c r="C1181" t="s">
        <v>546</v>
      </c>
      <c r="D1181">
        <v>1497</v>
      </c>
      <c r="F1181">
        <v>165</v>
      </c>
      <c r="G1181">
        <v>13</v>
      </c>
      <c r="H1181">
        <v>10000</v>
      </c>
      <c r="I1181" t="s">
        <v>18</v>
      </c>
      <c r="J1181">
        <v>5</v>
      </c>
      <c r="K1181">
        <v>135</v>
      </c>
    </row>
    <row r="1182" spans="1:11" hidden="1" x14ac:dyDescent="0.25">
      <c r="A1182" t="s">
        <v>910</v>
      </c>
      <c r="B1182" t="s">
        <v>1543</v>
      </c>
      <c r="C1182" t="s">
        <v>643</v>
      </c>
      <c r="D1182">
        <v>660</v>
      </c>
      <c r="E1182">
        <v>63</v>
      </c>
      <c r="F1182">
        <v>130</v>
      </c>
      <c r="G1182">
        <v>15</v>
      </c>
      <c r="H1182">
        <v>10000</v>
      </c>
      <c r="I1182" t="s">
        <v>18</v>
      </c>
      <c r="J1182">
        <v>4</v>
      </c>
      <c r="K1182">
        <v>85</v>
      </c>
    </row>
    <row r="1183" spans="1:11" hidden="1" x14ac:dyDescent="0.25">
      <c r="A1183" t="s">
        <v>52</v>
      </c>
      <c r="B1183" t="s">
        <v>642</v>
      </c>
      <c r="C1183" t="s">
        <v>643</v>
      </c>
      <c r="D1183">
        <v>659</v>
      </c>
      <c r="F1183">
        <v>110</v>
      </c>
      <c r="G1183">
        <v>18.5</v>
      </c>
      <c r="H1183">
        <v>10000</v>
      </c>
      <c r="I1183" t="s">
        <v>18</v>
      </c>
      <c r="J1183">
        <v>4</v>
      </c>
      <c r="K1183">
        <v>62</v>
      </c>
    </row>
    <row r="1184" spans="1:11" hidden="1" x14ac:dyDescent="0.25">
      <c r="A1184" t="s">
        <v>820</v>
      </c>
      <c r="B1184" t="s">
        <v>840</v>
      </c>
      <c r="C1184" t="s">
        <v>822</v>
      </c>
      <c r="D1184">
        <v>1199</v>
      </c>
      <c r="E1184">
        <v>86</v>
      </c>
      <c r="F1184">
        <v>170</v>
      </c>
      <c r="G1184">
        <v>13</v>
      </c>
      <c r="H1184">
        <v>9400</v>
      </c>
      <c r="I1184" t="s">
        <v>18</v>
      </c>
      <c r="J1184">
        <v>5</v>
      </c>
      <c r="K1184">
        <v>113</v>
      </c>
    </row>
    <row r="1185" spans="1:11" hidden="1" x14ac:dyDescent="0.25">
      <c r="A1185" t="s">
        <v>820</v>
      </c>
      <c r="B1185" t="s">
        <v>833</v>
      </c>
      <c r="C1185" t="s">
        <v>822</v>
      </c>
      <c r="D1185">
        <v>1199</v>
      </c>
      <c r="E1185">
        <v>86</v>
      </c>
      <c r="F1185">
        <v>170</v>
      </c>
      <c r="G1185">
        <v>13.5</v>
      </c>
      <c r="H1185">
        <v>9200</v>
      </c>
      <c r="I1185" t="s">
        <v>18</v>
      </c>
      <c r="J1185">
        <v>5</v>
      </c>
      <c r="K1185">
        <v>113</v>
      </c>
    </row>
    <row r="1186" spans="1:11" hidden="1" x14ac:dyDescent="0.25">
      <c r="A1186" t="s">
        <v>820</v>
      </c>
      <c r="B1186" t="s">
        <v>849</v>
      </c>
      <c r="C1186" t="s">
        <v>850</v>
      </c>
      <c r="F1186">
        <v>160</v>
      </c>
      <c r="G1186">
        <v>14</v>
      </c>
      <c r="H1186">
        <v>9000</v>
      </c>
      <c r="I1186" t="s">
        <v>215</v>
      </c>
      <c r="J1186">
        <v>5</v>
      </c>
    </row>
    <row r="1187" spans="1:11" hidden="1" x14ac:dyDescent="0.25">
      <c r="A1187" t="s">
        <v>910</v>
      </c>
      <c r="B1187" t="s">
        <v>1535</v>
      </c>
      <c r="C1187" t="s">
        <v>643</v>
      </c>
      <c r="D1187">
        <v>660</v>
      </c>
      <c r="E1187">
        <v>54</v>
      </c>
      <c r="F1187">
        <v>130</v>
      </c>
      <c r="G1187">
        <v>16</v>
      </c>
      <c r="H1187">
        <v>9000</v>
      </c>
      <c r="I1187" t="s">
        <v>18</v>
      </c>
      <c r="J1187">
        <v>4</v>
      </c>
      <c r="K1187">
        <v>80</v>
      </c>
    </row>
    <row r="1188" spans="1:11" hidden="1" x14ac:dyDescent="0.25">
      <c r="A1188" t="s">
        <v>910</v>
      </c>
      <c r="B1188" t="s">
        <v>1579</v>
      </c>
      <c r="C1188" t="s">
        <v>1580</v>
      </c>
      <c r="D1188">
        <v>360</v>
      </c>
      <c r="E1188">
        <v>26</v>
      </c>
      <c r="F1188">
        <v>85</v>
      </c>
      <c r="G1188">
        <v>35</v>
      </c>
      <c r="H1188">
        <v>9000</v>
      </c>
      <c r="I1188" t="s">
        <v>18</v>
      </c>
      <c r="J1188">
        <v>4</v>
      </c>
      <c r="K1188">
        <v>45</v>
      </c>
    </row>
    <row r="1189" spans="1:11" hidden="1" x14ac:dyDescent="0.25">
      <c r="A1189" t="s">
        <v>820</v>
      </c>
      <c r="B1189" t="s">
        <v>842</v>
      </c>
      <c r="C1189" t="s">
        <v>843</v>
      </c>
      <c r="F1189">
        <v>165</v>
      </c>
      <c r="G1189">
        <v>15</v>
      </c>
      <c r="H1189">
        <v>8700</v>
      </c>
      <c r="I1189" t="s">
        <v>215</v>
      </c>
      <c r="J1189">
        <v>5</v>
      </c>
    </row>
    <row r="1190" spans="1:11" hidden="1" x14ac:dyDescent="0.25">
      <c r="A1190" t="s">
        <v>820</v>
      </c>
      <c r="B1190" t="s">
        <v>847</v>
      </c>
      <c r="C1190" t="s">
        <v>848</v>
      </c>
      <c r="D1190">
        <v>1396</v>
      </c>
      <c r="F1190">
        <v>150</v>
      </c>
      <c r="G1190">
        <v>17</v>
      </c>
      <c r="H1190">
        <v>8300</v>
      </c>
      <c r="I1190" t="s">
        <v>215</v>
      </c>
      <c r="J1190">
        <v>5</v>
      </c>
    </row>
    <row r="1191" spans="1:11" hidden="1" x14ac:dyDescent="0.25">
      <c r="A1191" t="s">
        <v>820</v>
      </c>
      <c r="B1191" t="s">
        <v>821</v>
      </c>
      <c r="C1191" t="s">
        <v>822</v>
      </c>
      <c r="D1191">
        <v>1199</v>
      </c>
      <c r="E1191">
        <v>86</v>
      </c>
      <c r="F1191">
        <v>170</v>
      </c>
      <c r="G1191">
        <v>13</v>
      </c>
      <c r="H1191">
        <v>8200</v>
      </c>
      <c r="I1191" t="s">
        <v>18</v>
      </c>
      <c r="J1191">
        <v>5</v>
      </c>
      <c r="K1191">
        <v>113</v>
      </c>
    </row>
    <row r="1192" spans="1:11" hidden="1" x14ac:dyDescent="0.25">
      <c r="A1192" t="s">
        <v>820</v>
      </c>
      <c r="B1192" t="s">
        <v>852</v>
      </c>
      <c r="C1192" t="s">
        <v>853</v>
      </c>
      <c r="D1192">
        <v>1396</v>
      </c>
      <c r="E1192">
        <v>85</v>
      </c>
      <c r="F1192">
        <v>160</v>
      </c>
      <c r="G1192">
        <v>15</v>
      </c>
      <c r="H1192">
        <v>7200</v>
      </c>
      <c r="I1192" t="s">
        <v>18</v>
      </c>
      <c r="J1192">
        <v>5</v>
      </c>
      <c r="K1192">
        <v>115</v>
      </c>
    </row>
    <row r="1193" spans="1:11" hidden="1" x14ac:dyDescent="0.25">
      <c r="A1193" t="s">
        <v>820</v>
      </c>
      <c r="B1193" t="s">
        <v>851</v>
      </c>
      <c r="C1193" t="s">
        <v>837</v>
      </c>
      <c r="D1193">
        <v>1396</v>
      </c>
      <c r="E1193">
        <v>70</v>
      </c>
      <c r="F1193">
        <v>150</v>
      </c>
      <c r="G1193">
        <v>17</v>
      </c>
      <c r="H1193">
        <v>7000</v>
      </c>
      <c r="I1193" t="s">
        <v>50</v>
      </c>
      <c r="J1193">
        <v>5</v>
      </c>
      <c r="K1193">
        <v>140</v>
      </c>
    </row>
    <row r="1194" spans="1:11" hidden="1" x14ac:dyDescent="0.25">
      <c r="A1194" t="s">
        <v>820</v>
      </c>
      <c r="B1194" t="s">
        <v>844</v>
      </c>
      <c r="C1194" t="s">
        <v>837</v>
      </c>
      <c r="D1194">
        <v>1396</v>
      </c>
      <c r="E1194">
        <v>70</v>
      </c>
      <c r="F1194">
        <v>155</v>
      </c>
      <c r="G1194">
        <v>16.5</v>
      </c>
      <c r="H1194">
        <v>6500</v>
      </c>
      <c r="I1194" t="s">
        <v>50</v>
      </c>
      <c r="J1194">
        <v>5</v>
      </c>
      <c r="K1194">
        <v>140</v>
      </c>
    </row>
    <row r="1195" spans="1:11" hidden="1" x14ac:dyDescent="0.25">
      <c r="A1195" t="s">
        <v>820</v>
      </c>
      <c r="B1195" t="s">
        <v>836</v>
      </c>
      <c r="C1195" t="s">
        <v>837</v>
      </c>
      <c r="D1195">
        <v>1396</v>
      </c>
      <c r="E1195">
        <v>70</v>
      </c>
      <c r="F1195">
        <v>155</v>
      </c>
      <c r="G1195">
        <v>16</v>
      </c>
      <c r="H1195">
        <v>6200</v>
      </c>
      <c r="I1195" t="s">
        <v>50</v>
      </c>
      <c r="J1195">
        <v>5</v>
      </c>
      <c r="K1195">
        <v>140</v>
      </c>
    </row>
    <row r="1196" spans="1:11" hidden="1" x14ac:dyDescent="0.25">
      <c r="A1196" t="s">
        <v>820</v>
      </c>
      <c r="B1196" t="s">
        <v>838</v>
      </c>
      <c r="C1196" t="s">
        <v>839</v>
      </c>
      <c r="D1196">
        <v>1193</v>
      </c>
      <c r="E1196">
        <v>65</v>
      </c>
      <c r="F1196">
        <v>140</v>
      </c>
      <c r="G1196">
        <v>16</v>
      </c>
      <c r="H1196">
        <v>5000</v>
      </c>
      <c r="I1196" t="s">
        <v>18</v>
      </c>
      <c r="J1196">
        <v>5</v>
      </c>
      <c r="K1196">
        <v>100</v>
      </c>
    </row>
    <row r="1197" spans="1:11" hidden="1" x14ac:dyDescent="0.25">
      <c r="A1197" t="s">
        <v>820</v>
      </c>
      <c r="B1197" t="s">
        <v>834</v>
      </c>
      <c r="C1197" t="s">
        <v>835</v>
      </c>
      <c r="D1197">
        <v>624</v>
      </c>
      <c r="E1197">
        <v>37</v>
      </c>
      <c r="F1197">
        <v>105</v>
      </c>
      <c r="G1197">
        <v>29</v>
      </c>
      <c r="H1197">
        <v>4000</v>
      </c>
      <c r="I1197" t="s">
        <v>18</v>
      </c>
      <c r="J1197">
        <v>4</v>
      </c>
      <c r="K1197">
        <v>51</v>
      </c>
    </row>
    <row r="1198" spans="1:11" hidden="1" x14ac:dyDescent="0.25">
      <c r="A1198" t="s">
        <v>43</v>
      </c>
      <c r="B1198" t="s">
        <v>1599</v>
      </c>
      <c r="C1198" t="s">
        <v>1600</v>
      </c>
      <c r="D1198">
        <v>2487</v>
      </c>
      <c r="E1198">
        <v>240</v>
      </c>
      <c r="F1198">
        <v>180</v>
      </c>
      <c r="G1198">
        <v>7.6</v>
      </c>
      <c r="I1198" t="s">
        <v>241</v>
      </c>
      <c r="J1198">
        <v>5</v>
      </c>
      <c r="K1198">
        <v>239</v>
      </c>
    </row>
    <row r="1199" spans="1:11" hidden="1" x14ac:dyDescent="0.25">
      <c r="A1199" t="s">
        <v>1178</v>
      </c>
      <c r="B1199" t="s">
        <v>1189</v>
      </c>
      <c r="C1199" t="s">
        <v>1190</v>
      </c>
      <c r="F1199">
        <v>230</v>
      </c>
      <c r="I1199" t="s">
        <v>18</v>
      </c>
      <c r="J1199">
        <v>5</v>
      </c>
    </row>
    <row r="1200" spans="1:11" hidden="1" x14ac:dyDescent="0.25">
      <c r="A1200" t="s">
        <v>43</v>
      </c>
      <c r="B1200" t="s">
        <v>1603</v>
      </c>
      <c r="C1200" t="s">
        <v>1604</v>
      </c>
      <c r="F1200">
        <v>190</v>
      </c>
      <c r="I1200" t="s">
        <v>241</v>
      </c>
      <c r="J1200">
        <v>5</v>
      </c>
    </row>
    <row r="1201" spans="1:10" hidden="1" x14ac:dyDescent="0.25">
      <c r="A1201" t="s">
        <v>43</v>
      </c>
      <c r="B1201" t="s">
        <v>1605</v>
      </c>
      <c r="C1201" t="s">
        <v>1606</v>
      </c>
      <c r="F1201">
        <v>180</v>
      </c>
      <c r="I1201" t="s">
        <v>65</v>
      </c>
      <c r="J1201">
        <v>5</v>
      </c>
    </row>
    <row r="1202" spans="1:10" hidden="1" x14ac:dyDescent="0.25">
      <c r="A1202" t="s">
        <v>43</v>
      </c>
      <c r="B1202" t="s">
        <v>1607</v>
      </c>
      <c r="C1202" t="s">
        <v>1608</v>
      </c>
      <c r="F1202">
        <v>200</v>
      </c>
      <c r="I1202" t="s">
        <v>14</v>
      </c>
      <c r="J1202">
        <v>5</v>
      </c>
    </row>
    <row r="1203" spans="1:10" hidden="1" x14ac:dyDescent="0.25">
      <c r="A1203" t="s">
        <v>910</v>
      </c>
      <c r="B1203" t="s">
        <v>1513</v>
      </c>
      <c r="C1203" t="s">
        <v>1514</v>
      </c>
      <c r="I1203" t="s">
        <v>241</v>
      </c>
      <c r="J1203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E30E65-A64A-4433-9B9A-4DC6EE4B1A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Cars Datasets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Tommy</dc:creator>
  <cp:lastModifiedBy>Tommy Pham</cp:lastModifiedBy>
  <dcterms:created xsi:type="dcterms:W3CDTF">2026-08-20T20:57:39Z</dcterms:created>
  <dcterms:modified xsi:type="dcterms:W3CDTF">2026-09-24T20:32:40Z</dcterms:modified>
</cp:coreProperties>
</file>