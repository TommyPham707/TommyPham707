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Tommy\Downloads\"/>
    </mc:Choice>
  </mc:AlternateContent>
  <xr:revisionPtr revIDLastSave="0" documentId="13_ncr:1_{33EDB3B6-ACC7-4270-A5E2-D654ECE10804}" xr6:coauthVersionLast="47" xr6:coauthVersionMax="47" xr10:uidLastSave="{00000000-0000-0000-0000-000000000000}"/>
  <bookViews>
    <workbookView xWindow="-120" yWindow="-120" windowWidth="38640" windowHeight="21120" activeTab="2" xr2:uid="{00000000-000D-0000-FFFF-FFFF00000000}"/>
  </bookViews>
  <sheets>
    <sheet name="Raw Data" sheetId="1" r:id="rId1"/>
    <sheet name="Pivot Summary" sheetId="2" r:id="rId2"/>
    <sheet name="Dashboard" sheetId="3" r:id="rId3"/>
  </sheets>
  <definedNames>
    <definedName name="_xlnm._FilterDatabase" localSheetId="0" hidden="1">'Raw Data'!$A$1:$P$501</definedName>
  </definedNames>
  <calcPr calcId="191029"/>
  <pivotCaches>
    <pivotCache cacheId="9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8" i="3" l="1"/>
  <c r="J26" i="3"/>
  <c r="J24" i="3"/>
  <c r="D24" i="3"/>
  <c r="G28" i="3"/>
  <c r="G26" i="3"/>
  <c r="G24" i="3"/>
  <c r="D28" i="3"/>
  <c r="D26" i="3"/>
  <c r="M14" i="3"/>
  <c r="M16" i="3"/>
  <c r="M18" i="3"/>
  <c r="G18" i="3"/>
  <c r="G16" i="3"/>
  <c r="G14" i="3"/>
  <c r="G12" i="3"/>
  <c r="D18" i="3"/>
  <c r="D16" i="3"/>
  <c r="D12" i="3"/>
  <c r="D14" i="3"/>
  <c r="J5" i="3"/>
  <c r="M12" i="3"/>
  <c r="J18" i="3"/>
  <c r="J16" i="3"/>
  <c r="J14" i="3"/>
  <c r="J12" i="3"/>
  <c r="M5" i="3"/>
  <c r="G5" i="3"/>
  <c r="D5" i="3"/>
  <c r="A5" i="3"/>
  <c r="D17" i="2"/>
  <c r="D16" i="2"/>
  <c r="D15" i="2"/>
  <c r="D14" i="2"/>
</calcChain>
</file>

<file path=xl/sharedStrings.xml><?xml version="1.0" encoding="utf-8"?>
<sst xmlns="http://schemas.openxmlformats.org/spreadsheetml/2006/main" count="5073" uniqueCount="852">
  <si>
    <t>Order_ID</t>
  </si>
  <si>
    <t>Date</t>
  </si>
  <si>
    <t>Month</t>
  </si>
  <si>
    <t>Quarter</t>
  </si>
  <si>
    <t>Region</t>
  </si>
  <si>
    <t>State</t>
  </si>
  <si>
    <t>Category</t>
  </si>
  <si>
    <t>Sub_Category</t>
  </si>
  <si>
    <t>Product</t>
  </si>
  <si>
    <t>Sales_Rep</t>
  </si>
  <si>
    <t>Units</t>
  </si>
  <si>
    <t>Unit_Price</t>
  </si>
  <si>
    <t>Revenue</t>
  </si>
  <si>
    <t>COGS</t>
  </si>
  <si>
    <t>Gross_Profit</t>
  </si>
  <si>
    <t>Target</t>
  </si>
  <si>
    <t>ORD-1001</t>
  </si>
  <si>
    <t>2024-11-04</t>
  </si>
  <si>
    <t>Nov</t>
  </si>
  <si>
    <t>Q4</t>
  </si>
  <si>
    <t>North</t>
  </si>
  <si>
    <t>Minnesota</t>
  </si>
  <si>
    <t>Electronics</t>
  </si>
  <si>
    <t>Monitors</t>
  </si>
  <si>
    <t>James Liu</t>
  </si>
  <si>
    <t>ORD-1002</t>
  </si>
  <si>
    <t>2024-10-14</t>
  </si>
  <si>
    <t>Oct</t>
  </si>
  <si>
    <t>Illinois</t>
  </si>
  <si>
    <t>Sarah Kim</t>
  </si>
  <si>
    <t>ORD-1003</t>
  </si>
  <si>
    <t>2024-04-15</t>
  </si>
  <si>
    <t>Apr</t>
  </si>
  <si>
    <t>Q2</t>
  </si>
  <si>
    <t>East</t>
  </si>
  <si>
    <t>New York</t>
  </si>
  <si>
    <t>Headphones</t>
  </si>
  <si>
    <t>ORD-1004</t>
  </si>
  <si>
    <t>2024-02-13</t>
  </si>
  <si>
    <t>Feb</t>
  </si>
  <si>
    <t>Q1</t>
  </si>
  <si>
    <t>Office Supply</t>
  </si>
  <si>
    <t>Folders</t>
  </si>
  <si>
    <t>ORD-1005</t>
  </si>
  <si>
    <t>2024-02-18</t>
  </si>
  <si>
    <t>New Jersey</t>
  </si>
  <si>
    <t>Furniture</t>
  </si>
  <si>
    <t>Chair</t>
  </si>
  <si>
    <t>ORD-1006</t>
  </si>
  <si>
    <t>2024-04-28</t>
  </si>
  <si>
    <t>Michigan</t>
  </si>
  <si>
    <t>Stapler</t>
  </si>
  <si>
    <t>Aisha Brown</t>
  </si>
  <si>
    <t>ORD-1007</t>
  </si>
  <si>
    <t>2024-12-22</t>
  </si>
  <si>
    <t>Dec</t>
  </si>
  <si>
    <t>Wisconsin</t>
  </si>
  <si>
    <t>Carlos Ruiz</t>
  </si>
  <si>
    <t>ORD-1008</t>
  </si>
  <si>
    <t>2024-11-11</t>
  </si>
  <si>
    <t>Keyboards</t>
  </si>
  <si>
    <t>Tom Kowalski</t>
  </si>
  <si>
    <t>ORD-1009</t>
  </si>
  <si>
    <t>2024-04-21</t>
  </si>
  <si>
    <t>West</t>
  </si>
  <si>
    <t>Nevada</t>
  </si>
  <si>
    <t>Cabinet</t>
  </si>
  <si>
    <t>ORD-1010</t>
  </si>
  <si>
    <t>2024-12-19</t>
  </si>
  <si>
    <t>Pens</t>
  </si>
  <si>
    <t>Maria Santos</t>
  </si>
  <si>
    <t>ORD-1011</t>
  </si>
  <si>
    <t>2024-02-05</t>
  </si>
  <si>
    <t>South</t>
  </si>
  <si>
    <t>Louisiana</t>
  </si>
  <si>
    <t>Desk</t>
  </si>
  <si>
    <t>ORD-1012</t>
  </si>
  <si>
    <t>2024-11-24</t>
  </si>
  <si>
    <t>Bookcase</t>
  </si>
  <si>
    <t>ORD-1013</t>
  </si>
  <si>
    <t>2024-09-25</t>
  </si>
  <si>
    <t>Sep</t>
  </si>
  <si>
    <t>Q3</t>
  </si>
  <si>
    <t>Texas</t>
  </si>
  <si>
    <t>Priya Nair</t>
  </si>
  <si>
    <t>ORD-1014</t>
  </si>
  <si>
    <t>Paper</t>
  </si>
  <si>
    <t>ORD-1015</t>
  </si>
  <si>
    <t>2024-04-02</t>
  </si>
  <si>
    <t>Derek Thompson</t>
  </si>
  <si>
    <t>ORD-1016</t>
  </si>
  <si>
    <t>2024-09-06</t>
  </si>
  <si>
    <t>Massachusetts</t>
  </si>
  <si>
    <t>ORD-1017</t>
  </si>
  <si>
    <t>2024-09-15</t>
  </si>
  <si>
    <t>Laptops</t>
  </si>
  <si>
    <t>ORD-1018</t>
  </si>
  <si>
    <t>2024-02-23</t>
  </si>
  <si>
    <t>ORD-1019</t>
  </si>
  <si>
    <t>2024-04-18</t>
  </si>
  <si>
    <t>ORD-1020</t>
  </si>
  <si>
    <t>2024-07-14</t>
  </si>
  <si>
    <t>Jul</t>
  </si>
  <si>
    <t>California</t>
  </si>
  <si>
    <t>ORD-1021</t>
  </si>
  <si>
    <t>Washington</t>
  </si>
  <si>
    <t>ORD-1022</t>
  </si>
  <si>
    <t>2024-01-21</t>
  </si>
  <si>
    <t>Jan</t>
  </si>
  <si>
    <t>ORD-1023</t>
  </si>
  <si>
    <t>2024-03-13</t>
  </si>
  <si>
    <t>Mar</t>
  </si>
  <si>
    <t>ORD-1024</t>
  </si>
  <si>
    <t>2024-05-07</t>
  </si>
  <si>
    <t>May</t>
  </si>
  <si>
    <t>ORD-1025</t>
  </si>
  <si>
    <t>2024-01-17</t>
  </si>
  <si>
    <t>ORD-1026</t>
  </si>
  <si>
    <t>2024-10-20</t>
  </si>
  <si>
    <t>ORD-1027</t>
  </si>
  <si>
    <t>2024-07-05</t>
  </si>
  <si>
    <t>ORD-1028</t>
  </si>
  <si>
    <t>2024-09-07</t>
  </si>
  <si>
    <t>Pennsylvania</t>
  </si>
  <si>
    <t>ORD-1029</t>
  </si>
  <si>
    <t>2024-10-26</t>
  </si>
  <si>
    <t>ORD-1030</t>
  </si>
  <si>
    <t>2024-05-10</t>
  </si>
  <si>
    <t>Georgia</t>
  </si>
  <si>
    <t>ORD-1031</t>
  </si>
  <si>
    <t>2024-11-14</t>
  </si>
  <si>
    <t>ORD-1032</t>
  </si>
  <si>
    <t>2024-09-01</t>
  </si>
  <si>
    <t>ORD-1033</t>
  </si>
  <si>
    <t>2024-01-10</t>
  </si>
  <si>
    <t>ORD-1034</t>
  </si>
  <si>
    <t>2024-10-24</t>
  </si>
  <si>
    <t>Florida</t>
  </si>
  <si>
    <t>ORD-1035</t>
  </si>
  <si>
    <t>2024-11-28</t>
  </si>
  <si>
    <t>ORD-1036</t>
  </si>
  <si>
    <t>2024-06-10</t>
  </si>
  <si>
    <t>Jun</t>
  </si>
  <si>
    <t>ORD-1037</t>
  </si>
  <si>
    <t>2024-06-21</t>
  </si>
  <si>
    <t>Oregon</t>
  </si>
  <si>
    <t>ORD-1038</t>
  </si>
  <si>
    <t>2024-01-04</t>
  </si>
  <si>
    <t>ORD-1039</t>
  </si>
  <si>
    <t>2024-05-02</t>
  </si>
  <si>
    <t>ORD-1040</t>
  </si>
  <si>
    <t>ORD-1041</t>
  </si>
  <si>
    <t>2024-04-14</t>
  </si>
  <si>
    <t>ORD-1042</t>
  </si>
  <si>
    <t>2024-08-15</t>
  </si>
  <si>
    <t>Aug</t>
  </si>
  <si>
    <t>ORD-1043</t>
  </si>
  <si>
    <t>2024-02-27</t>
  </si>
  <si>
    <t>ORD-1044</t>
  </si>
  <si>
    <t>2024-08-14</t>
  </si>
  <si>
    <t>ORD-1045</t>
  </si>
  <si>
    <t>2024-07-08</t>
  </si>
  <si>
    <t>ORD-1046</t>
  </si>
  <si>
    <t>2024-08-20</t>
  </si>
  <si>
    <t>ORD-1047</t>
  </si>
  <si>
    <t>2024-11-08</t>
  </si>
  <si>
    <t>ORD-1048</t>
  </si>
  <si>
    <t>2024-03-08</t>
  </si>
  <si>
    <t>ORD-1049</t>
  </si>
  <si>
    <t>2024-04-27</t>
  </si>
  <si>
    <t>ORD-1050</t>
  </si>
  <si>
    <t>2024-05-25</t>
  </si>
  <si>
    <t>ORD-1051</t>
  </si>
  <si>
    <t>2024-11-22</t>
  </si>
  <si>
    <t>ORD-1052</t>
  </si>
  <si>
    <t>2024-02-21</t>
  </si>
  <si>
    <t>ORD-1053</t>
  </si>
  <si>
    <t>2024-07-09</t>
  </si>
  <si>
    <t>ORD-1054</t>
  </si>
  <si>
    <t>2024-11-03</t>
  </si>
  <si>
    <t>ORD-1055</t>
  </si>
  <si>
    <t>2024-10-07</t>
  </si>
  <si>
    <t>ORD-1056</t>
  </si>
  <si>
    <t>2024-02-19</t>
  </si>
  <si>
    <t>ORD-1057</t>
  </si>
  <si>
    <t>ORD-1058</t>
  </si>
  <si>
    <t>2024-01-28</t>
  </si>
  <si>
    <t>ORD-1059</t>
  </si>
  <si>
    <t>ORD-1060</t>
  </si>
  <si>
    <t>2024-04-25</t>
  </si>
  <si>
    <t>ORD-1061</t>
  </si>
  <si>
    <t>2024-06-09</t>
  </si>
  <si>
    <t>ORD-1062</t>
  </si>
  <si>
    <t>2024-11-23</t>
  </si>
  <si>
    <t>ORD-1063</t>
  </si>
  <si>
    <t>2024-08-18</t>
  </si>
  <si>
    <t>ORD-1064</t>
  </si>
  <si>
    <t>2024-12-07</t>
  </si>
  <si>
    <t>ORD-1065</t>
  </si>
  <si>
    <t>ORD-1066</t>
  </si>
  <si>
    <t>2024-01-18</t>
  </si>
  <si>
    <t>ORD-1067</t>
  </si>
  <si>
    <t>2024-06-06</t>
  </si>
  <si>
    <t>ORD-1068</t>
  </si>
  <si>
    <t>2024-03-05</t>
  </si>
  <si>
    <t>ORD-1069</t>
  </si>
  <si>
    <t>2024-09-13</t>
  </si>
  <si>
    <t>ORD-1070</t>
  </si>
  <si>
    <t>ORD-1071</t>
  </si>
  <si>
    <t>2024-08-23</t>
  </si>
  <si>
    <t>ORD-1072</t>
  </si>
  <si>
    <t>2024-05-26</t>
  </si>
  <si>
    <t>ORD-1073</t>
  </si>
  <si>
    <t>2024-05-20</t>
  </si>
  <si>
    <t>ORD-1074</t>
  </si>
  <si>
    <t>2024-08-03</t>
  </si>
  <si>
    <t>ORD-1075</t>
  </si>
  <si>
    <t>2024-11-27</t>
  </si>
  <si>
    <t>ORD-1076</t>
  </si>
  <si>
    <t>ORD-1077</t>
  </si>
  <si>
    <t>2024-07-23</t>
  </si>
  <si>
    <t>ORD-1078</t>
  </si>
  <si>
    <t>2024-06-04</t>
  </si>
  <si>
    <t>ORD-1079</t>
  </si>
  <si>
    <t>2024-11-15</t>
  </si>
  <si>
    <t>ORD-1080</t>
  </si>
  <si>
    <t>2024-11-20</t>
  </si>
  <si>
    <t>ORD-1081</t>
  </si>
  <si>
    <t>2024-08-04</t>
  </si>
  <si>
    <t>ORD-1082</t>
  </si>
  <si>
    <t>ORD-1083</t>
  </si>
  <si>
    <t>2024-09-09</t>
  </si>
  <si>
    <t>ORD-1084</t>
  </si>
  <si>
    <t>ORD-1085</t>
  </si>
  <si>
    <t>2024-10-13</t>
  </si>
  <si>
    <t>ORD-1086</t>
  </si>
  <si>
    <t>2024-08-02</t>
  </si>
  <si>
    <t>ORD-1087</t>
  </si>
  <si>
    <t>2024-02-16</t>
  </si>
  <si>
    <t>ORD-1088</t>
  </si>
  <si>
    <t>ORD-1089</t>
  </si>
  <si>
    <t>2024-02-25</t>
  </si>
  <si>
    <t>ORD-1090</t>
  </si>
  <si>
    <t>2024-06-14</t>
  </si>
  <si>
    <t>ORD-1091</t>
  </si>
  <si>
    <t>2024-10-22</t>
  </si>
  <si>
    <t>ORD-1092</t>
  </si>
  <si>
    <t>2024-05-22</t>
  </si>
  <si>
    <t>ORD-1093</t>
  </si>
  <si>
    <t>2024-08-28</t>
  </si>
  <si>
    <t>ORD-1094</t>
  </si>
  <si>
    <t>2024-01-27</t>
  </si>
  <si>
    <t>ORD-1095</t>
  </si>
  <si>
    <t>ORD-1096</t>
  </si>
  <si>
    <t>ORD-1097</t>
  </si>
  <si>
    <t>2024-03-07</t>
  </si>
  <si>
    <t>ORD-1098</t>
  </si>
  <si>
    <t>2024-12-28</t>
  </si>
  <si>
    <t>ORD-1099</t>
  </si>
  <si>
    <t>2024-09-12</t>
  </si>
  <si>
    <t>ORD-1100</t>
  </si>
  <si>
    <t>ORD-1101</t>
  </si>
  <si>
    <t>ORD-1102</t>
  </si>
  <si>
    <t>2024-02-04</t>
  </si>
  <si>
    <t>ORD-1103</t>
  </si>
  <si>
    <t>2024-07-21</t>
  </si>
  <si>
    <t>ORD-1104</t>
  </si>
  <si>
    <t>2024-08-08</t>
  </si>
  <si>
    <t>ORD-1105</t>
  </si>
  <si>
    <t>ORD-1106</t>
  </si>
  <si>
    <t>ORD-1107</t>
  </si>
  <si>
    <t>2024-02-22</t>
  </si>
  <si>
    <t>ORD-1108</t>
  </si>
  <si>
    <t>2024-01-05</t>
  </si>
  <si>
    <t>ORD-1109</t>
  </si>
  <si>
    <t>2024-10-02</t>
  </si>
  <si>
    <t>ORD-1110</t>
  </si>
  <si>
    <t>ORD-1111</t>
  </si>
  <si>
    <t>2024-07-20</t>
  </si>
  <si>
    <t>ORD-1112</t>
  </si>
  <si>
    <t>2024-07-15</t>
  </si>
  <si>
    <t>ORD-1113</t>
  </si>
  <si>
    <t>2024-06-05</t>
  </si>
  <si>
    <t>ORD-1114</t>
  </si>
  <si>
    <t>2024-09-02</t>
  </si>
  <si>
    <t>ORD-1115</t>
  </si>
  <si>
    <t>2024-10-10</t>
  </si>
  <si>
    <t>ORD-1116</t>
  </si>
  <si>
    <t>ORD-1117</t>
  </si>
  <si>
    <t>2024-06-12</t>
  </si>
  <si>
    <t>ORD-1118</t>
  </si>
  <si>
    <t>ORD-1119</t>
  </si>
  <si>
    <t>2024-03-25</t>
  </si>
  <si>
    <t>ORD-1120</t>
  </si>
  <si>
    <t>2024-09-04</t>
  </si>
  <si>
    <t>ORD-1121</t>
  </si>
  <si>
    <t>2024-04-13</t>
  </si>
  <si>
    <t>ORD-1122</t>
  </si>
  <si>
    <t>2024-01-16</t>
  </si>
  <si>
    <t>ORD-1123</t>
  </si>
  <si>
    <t>ORD-1124</t>
  </si>
  <si>
    <t>2024-05-04</t>
  </si>
  <si>
    <t>ORD-1125</t>
  </si>
  <si>
    <t>2024-02-14</t>
  </si>
  <si>
    <t>ORD-1126</t>
  </si>
  <si>
    <t>2024-06-25</t>
  </si>
  <si>
    <t>ORD-1127</t>
  </si>
  <si>
    <t>2024-04-04</t>
  </si>
  <si>
    <t>ORD-1128</t>
  </si>
  <si>
    <t>2024-08-25</t>
  </si>
  <si>
    <t>ORD-1129</t>
  </si>
  <si>
    <t>ORD-1130</t>
  </si>
  <si>
    <t>ORD-1131</t>
  </si>
  <si>
    <t>2024-09-05</t>
  </si>
  <si>
    <t>ORD-1132</t>
  </si>
  <si>
    <t>2024-12-15</t>
  </si>
  <si>
    <t>ORD-1133</t>
  </si>
  <si>
    <t>2024-11-21</t>
  </si>
  <si>
    <t>ORD-1134</t>
  </si>
  <si>
    <t>2024-06-03</t>
  </si>
  <si>
    <t>ORD-1135</t>
  </si>
  <si>
    <t>2024-03-22</t>
  </si>
  <si>
    <t>ORD-1136</t>
  </si>
  <si>
    <t>2024-04-08</t>
  </si>
  <si>
    <t>ORD-1137</t>
  </si>
  <si>
    <t>ORD-1138</t>
  </si>
  <si>
    <t>2024-01-14</t>
  </si>
  <si>
    <t>ORD-1139</t>
  </si>
  <si>
    <t>2024-04-12</t>
  </si>
  <si>
    <t>ORD-1140</t>
  </si>
  <si>
    <t>ORD-1141</t>
  </si>
  <si>
    <t>2024-05-15</t>
  </si>
  <si>
    <t>ORD-1142</t>
  </si>
  <si>
    <t>ORD-1143</t>
  </si>
  <si>
    <t>ORD-1144</t>
  </si>
  <si>
    <t>2024-01-09</t>
  </si>
  <si>
    <t>ORD-1145</t>
  </si>
  <si>
    <t>ORD-1146</t>
  </si>
  <si>
    <t>2024-05-14</t>
  </si>
  <si>
    <t>ORD-1147</t>
  </si>
  <si>
    <t>2024-07-28</t>
  </si>
  <si>
    <t>ORD-1148</t>
  </si>
  <si>
    <t>2024-06-08</t>
  </si>
  <si>
    <t>ORD-1149</t>
  </si>
  <si>
    <t>2024-12-16</t>
  </si>
  <si>
    <t>ORD-1150</t>
  </si>
  <si>
    <t>ORD-1151</t>
  </si>
  <si>
    <t>ORD-1152</t>
  </si>
  <si>
    <t>ORD-1153</t>
  </si>
  <si>
    <t>2024-09-10</t>
  </si>
  <si>
    <t>ORD-1154</t>
  </si>
  <si>
    <t>ORD-1155</t>
  </si>
  <si>
    <t>ORD-1156</t>
  </si>
  <si>
    <t>ORD-1157</t>
  </si>
  <si>
    <t>ORD-1158</t>
  </si>
  <si>
    <t>2024-01-24</t>
  </si>
  <si>
    <t>ORD-1159</t>
  </si>
  <si>
    <t>2024-04-20</t>
  </si>
  <si>
    <t>ORD-1160</t>
  </si>
  <si>
    <t>2024-02-26</t>
  </si>
  <si>
    <t>ORD-1161</t>
  </si>
  <si>
    <t>2024-06-17</t>
  </si>
  <si>
    <t>ORD-1162</t>
  </si>
  <si>
    <t>2024-08-26</t>
  </si>
  <si>
    <t>ORD-1163</t>
  </si>
  <si>
    <t>2024-03-11</t>
  </si>
  <si>
    <t>ORD-1164</t>
  </si>
  <si>
    <t>2024-07-17</t>
  </si>
  <si>
    <t>ORD-1165</t>
  </si>
  <si>
    <t>ORD-1166</t>
  </si>
  <si>
    <t>2024-10-19</t>
  </si>
  <si>
    <t>ORD-1167</t>
  </si>
  <si>
    <t>ORD-1168</t>
  </si>
  <si>
    <t>2024-11-10</t>
  </si>
  <si>
    <t>ORD-1169</t>
  </si>
  <si>
    <t>ORD-1170</t>
  </si>
  <si>
    <t>ORD-1171</t>
  </si>
  <si>
    <t>2024-05-13</t>
  </si>
  <si>
    <t>ORD-1172</t>
  </si>
  <si>
    <t>2024-08-10</t>
  </si>
  <si>
    <t>ORD-1173</t>
  </si>
  <si>
    <t>2024-05-16</t>
  </si>
  <si>
    <t>ORD-1174</t>
  </si>
  <si>
    <t>2024-07-12</t>
  </si>
  <si>
    <t>ORD-1175</t>
  </si>
  <si>
    <t>ORD-1176</t>
  </si>
  <si>
    <t>ORD-1177</t>
  </si>
  <si>
    <t>2024-10-17</t>
  </si>
  <si>
    <t>ORD-1178</t>
  </si>
  <si>
    <t>2024-09-27</t>
  </si>
  <si>
    <t>ORD-1179</t>
  </si>
  <si>
    <t>2024-10-16</t>
  </si>
  <si>
    <t>ORD-1180</t>
  </si>
  <si>
    <t>2024-03-27</t>
  </si>
  <si>
    <t>ORD-1181</t>
  </si>
  <si>
    <t>ORD-1182</t>
  </si>
  <si>
    <t>ORD-1183</t>
  </si>
  <si>
    <t>2024-05-18</t>
  </si>
  <si>
    <t>ORD-1184</t>
  </si>
  <si>
    <t>ORD-1185</t>
  </si>
  <si>
    <t>2024-11-09</t>
  </si>
  <si>
    <t>ORD-1186</t>
  </si>
  <si>
    <t>ORD-1187</t>
  </si>
  <si>
    <t>ORD-1188</t>
  </si>
  <si>
    <t>2024-11-19</t>
  </si>
  <si>
    <t>ORD-1189</t>
  </si>
  <si>
    <t>2024-08-06</t>
  </si>
  <si>
    <t>ORD-1190</t>
  </si>
  <si>
    <t>2024-11-18</t>
  </si>
  <si>
    <t>ORD-1191</t>
  </si>
  <si>
    <t>2024-12-06</t>
  </si>
  <si>
    <t>ORD-1192</t>
  </si>
  <si>
    <t>2024-07-22</t>
  </si>
  <si>
    <t>ORD-1193</t>
  </si>
  <si>
    <t>2024-05-11</t>
  </si>
  <si>
    <t>ORD-1194</t>
  </si>
  <si>
    <t>ORD-1195</t>
  </si>
  <si>
    <t>2024-08-24</t>
  </si>
  <si>
    <t>ORD-1196</t>
  </si>
  <si>
    <t>ORD-1197</t>
  </si>
  <si>
    <t>ORD-1198</t>
  </si>
  <si>
    <t>2024-08-05</t>
  </si>
  <si>
    <t>ORD-1199</t>
  </si>
  <si>
    <t>ORD-1200</t>
  </si>
  <si>
    <t>ORD-1201</t>
  </si>
  <si>
    <t>2024-07-13</t>
  </si>
  <si>
    <t>ORD-1202</t>
  </si>
  <si>
    <t>2024-01-25</t>
  </si>
  <si>
    <t>ORD-1203</t>
  </si>
  <si>
    <t>2024-04-24</t>
  </si>
  <si>
    <t>ORD-1204</t>
  </si>
  <si>
    <t>ORD-1205</t>
  </si>
  <si>
    <t>2024-03-17</t>
  </si>
  <si>
    <t>ORD-1206</t>
  </si>
  <si>
    <t>2024-07-10</t>
  </si>
  <si>
    <t>ORD-1207</t>
  </si>
  <si>
    <t>ORD-1208</t>
  </si>
  <si>
    <t>ORD-1209</t>
  </si>
  <si>
    <t>ORD-1210</t>
  </si>
  <si>
    <t>ORD-1211</t>
  </si>
  <si>
    <t>ORD-1212</t>
  </si>
  <si>
    <t>2024-12-20</t>
  </si>
  <si>
    <t>ORD-1213</t>
  </si>
  <si>
    <t>2024-05-12</t>
  </si>
  <si>
    <t>ORD-1214</t>
  </si>
  <si>
    <t>2024-01-19</t>
  </si>
  <si>
    <t>ORD-1215</t>
  </si>
  <si>
    <t>2024-04-11</t>
  </si>
  <si>
    <t>ORD-1216</t>
  </si>
  <si>
    <t>ORD-1217</t>
  </si>
  <si>
    <t>ORD-1218</t>
  </si>
  <si>
    <t>ORD-1219</t>
  </si>
  <si>
    <t>ORD-1220</t>
  </si>
  <si>
    <t>2024-04-07</t>
  </si>
  <si>
    <t>ORD-1221</t>
  </si>
  <si>
    <t>ORD-1222</t>
  </si>
  <si>
    <t>ORD-1223</t>
  </si>
  <si>
    <t>ORD-1224</t>
  </si>
  <si>
    <t>2024-12-27</t>
  </si>
  <si>
    <t>ORD-1225</t>
  </si>
  <si>
    <t>2024-07-25</t>
  </si>
  <si>
    <t>ORD-1226</t>
  </si>
  <si>
    <t>2024-06-01</t>
  </si>
  <si>
    <t>ORD-1227</t>
  </si>
  <si>
    <t>ORD-1228</t>
  </si>
  <si>
    <t>2024-12-13</t>
  </si>
  <si>
    <t>ORD-1229</t>
  </si>
  <si>
    <t>2024-03-03</t>
  </si>
  <si>
    <t>ORD-1230</t>
  </si>
  <si>
    <t>2024-07-01</t>
  </si>
  <si>
    <t>ORD-1231</t>
  </si>
  <si>
    <t>2024-11-13</t>
  </si>
  <si>
    <t>ORD-1232</t>
  </si>
  <si>
    <t>ORD-1233</t>
  </si>
  <si>
    <t>2024-03-10</t>
  </si>
  <si>
    <t>ORD-1234</t>
  </si>
  <si>
    <t>ORD-1235</t>
  </si>
  <si>
    <t>ORD-1236</t>
  </si>
  <si>
    <t>2024-10-18</t>
  </si>
  <si>
    <t>ORD-1237</t>
  </si>
  <si>
    <t>ORD-1238</t>
  </si>
  <si>
    <t>ORD-1239</t>
  </si>
  <si>
    <t>ORD-1240</t>
  </si>
  <si>
    <t>2024-02-01</t>
  </si>
  <si>
    <t>ORD-1241</t>
  </si>
  <si>
    <t>ORD-1242</t>
  </si>
  <si>
    <t>ORD-1243</t>
  </si>
  <si>
    <t>2024-02-10</t>
  </si>
  <si>
    <t>ORD-1244</t>
  </si>
  <si>
    <t>ORD-1245</t>
  </si>
  <si>
    <t>ORD-1246</t>
  </si>
  <si>
    <t>2024-10-04</t>
  </si>
  <si>
    <t>ORD-1247</t>
  </si>
  <si>
    <t>ORD-1248</t>
  </si>
  <si>
    <t>ORD-1249</t>
  </si>
  <si>
    <t>ORD-1250</t>
  </si>
  <si>
    <t>ORD-1251</t>
  </si>
  <si>
    <t>ORD-1252</t>
  </si>
  <si>
    <t>ORD-1253</t>
  </si>
  <si>
    <t>2024-09-17</t>
  </si>
  <si>
    <t>ORD-1254</t>
  </si>
  <si>
    <t>2024-07-04</t>
  </si>
  <si>
    <t>ORD-1255</t>
  </si>
  <si>
    <t>2024-04-26</t>
  </si>
  <si>
    <t>ORD-1256</t>
  </si>
  <si>
    <t>ORD-1257</t>
  </si>
  <si>
    <t>ORD-1258</t>
  </si>
  <si>
    <t>ORD-1259</t>
  </si>
  <si>
    <t>ORD-1260</t>
  </si>
  <si>
    <t>ORD-1261</t>
  </si>
  <si>
    <t>ORD-1262</t>
  </si>
  <si>
    <t>ORD-1263</t>
  </si>
  <si>
    <t>ORD-1264</t>
  </si>
  <si>
    <t>ORD-1265</t>
  </si>
  <si>
    <t>2024-01-01</t>
  </si>
  <si>
    <t>ORD-1266</t>
  </si>
  <si>
    <t>2024-02-11</t>
  </si>
  <si>
    <t>ORD-1267</t>
  </si>
  <si>
    <t>2024-09-19</t>
  </si>
  <si>
    <t>ORD-1268</t>
  </si>
  <si>
    <t>2024-04-03</t>
  </si>
  <si>
    <t>ORD-1269</t>
  </si>
  <si>
    <t>ORD-1270</t>
  </si>
  <si>
    <t>ORD-1271</t>
  </si>
  <si>
    <t>2024-06-11</t>
  </si>
  <si>
    <t>ORD-1272</t>
  </si>
  <si>
    <t>ORD-1273</t>
  </si>
  <si>
    <t>ORD-1274</t>
  </si>
  <si>
    <t>2024-05-03</t>
  </si>
  <si>
    <t>ORD-1275</t>
  </si>
  <si>
    <t>2024-01-08</t>
  </si>
  <si>
    <t>ORD-1276</t>
  </si>
  <si>
    <t>ORD-1277</t>
  </si>
  <si>
    <t>2024-03-12</t>
  </si>
  <si>
    <t>ORD-1278</t>
  </si>
  <si>
    <t>2024-05-23</t>
  </si>
  <si>
    <t>ORD-1279</t>
  </si>
  <si>
    <t>ORD-1280</t>
  </si>
  <si>
    <t>2024-03-06</t>
  </si>
  <si>
    <t>ORD-1281</t>
  </si>
  <si>
    <t>2024-02-17</t>
  </si>
  <si>
    <t>ORD-1282</t>
  </si>
  <si>
    <t>ORD-1283</t>
  </si>
  <si>
    <t>ORD-1284</t>
  </si>
  <si>
    <t>ORD-1285</t>
  </si>
  <si>
    <t>2024-12-09</t>
  </si>
  <si>
    <t>ORD-1286</t>
  </si>
  <si>
    <t>ORD-1287</t>
  </si>
  <si>
    <t>ORD-1288</t>
  </si>
  <si>
    <t>2024-03-04</t>
  </si>
  <si>
    <t>ORD-1289</t>
  </si>
  <si>
    <t>ORD-1290</t>
  </si>
  <si>
    <t>ORD-1291</t>
  </si>
  <si>
    <t>2024-03-01</t>
  </si>
  <si>
    <t>ORD-1292</t>
  </si>
  <si>
    <t>ORD-1293</t>
  </si>
  <si>
    <t>2024-01-03</t>
  </si>
  <si>
    <t>ORD-1294</t>
  </si>
  <si>
    <t>2024-03-19</t>
  </si>
  <si>
    <t>ORD-1295</t>
  </si>
  <si>
    <t>2024-05-09</t>
  </si>
  <si>
    <t>ORD-1296</t>
  </si>
  <si>
    <t>2024-02-09</t>
  </si>
  <si>
    <t>ORD-1297</t>
  </si>
  <si>
    <t>2024-07-26</t>
  </si>
  <si>
    <t>ORD-1298</t>
  </si>
  <si>
    <t>2024-01-11</t>
  </si>
  <si>
    <t>ORD-1299</t>
  </si>
  <si>
    <t>ORD-1300</t>
  </si>
  <si>
    <t>2024-06-27</t>
  </si>
  <si>
    <t>ORD-1301</t>
  </si>
  <si>
    <t>ORD-1302</t>
  </si>
  <si>
    <t>ORD-1303</t>
  </si>
  <si>
    <t>ORD-1304</t>
  </si>
  <si>
    <t>ORD-1305</t>
  </si>
  <si>
    <t>2024-04-22</t>
  </si>
  <si>
    <t>ORD-1306</t>
  </si>
  <si>
    <t>ORD-1307</t>
  </si>
  <si>
    <t>ORD-1308</t>
  </si>
  <si>
    <t>2024-12-03</t>
  </si>
  <si>
    <t>ORD-1309</t>
  </si>
  <si>
    <t>2024-08-13</t>
  </si>
  <si>
    <t>ORD-1310</t>
  </si>
  <si>
    <t>ORD-1311</t>
  </si>
  <si>
    <t>2024-03-24</t>
  </si>
  <si>
    <t>ORD-1312</t>
  </si>
  <si>
    <t>2024-03-02</t>
  </si>
  <si>
    <t>ORD-1313</t>
  </si>
  <si>
    <t>ORD-1314</t>
  </si>
  <si>
    <t>ORD-1315</t>
  </si>
  <si>
    <t>ORD-1316</t>
  </si>
  <si>
    <t>2024-06-13</t>
  </si>
  <si>
    <t>ORD-1317</t>
  </si>
  <si>
    <t>ORD-1318</t>
  </si>
  <si>
    <t>2024-07-27</t>
  </si>
  <si>
    <t>ORD-1319</t>
  </si>
  <si>
    <t>ORD-1320</t>
  </si>
  <si>
    <t>ORD-1321</t>
  </si>
  <si>
    <t>ORD-1322</t>
  </si>
  <si>
    <t>ORD-1323</t>
  </si>
  <si>
    <t>ORD-1324</t>
  </si>
  <si>
    <t>2024-01-13</t>
  </si>
  <si>
    <t>ORD-1325</t>
  </si>
  <si>
    <t>ORD-1326</t>
  </si>
  <si>
    <t>2024-10-21</t>
  </si>
  <si>
    <t>ORD-1327</t>
  </si>
  <si>
    <t>ORD-1328</t>
  </si>
  <si>
    <t>ORD-1329</t>
  </si>
  <si>
    <t>ORD-1330</t>
  </si>
  <si>
    <t>ORD-1331</t>
  </si>
  <si>
    <t>ORD-1332</t>
  </si>
  <si>
    <t>ORD-1333</t>
  </si>
  <si>
    <t>2024-08-09</t>
  </si>
  <si>
    <t>ORD-1334</t>
  </si>
  <si>
    <t>2024-09-21</t>
  </si>
  <si>
    <t>ORD-1335</t>
  </si>
  <si>
    <t>2024-05-21</t>
  </si>
  <si>
    <t>ORD-1336</t>
  </si>
  <si>
    <t>2024-12-01</t>
  </si>
  <si>
    <t>ORD-1337</t>
  </si>
  <si>
    <t>2024-06-24</t>
  </si>
  <si>
    <t>ORD-1338</t>
  </si>
  <si>
    <t>ORD-1339</t>
  </si>
  <si>
    <t>ORD-1340</t>
  </si>
  <si>
    <t>ORD-1341</t>
  </si>
  <si>
    <t>ORD-1342</t>
  </si>
  <si>
    <t>ORD-1343</t>
  </si>
  <si>
    <t>2024-03-20</t>
  </si>
  <si>
    <t>ORD-1344</t>
  </si>
  <si>
    <t>ORD-1345</t>
  </si>
  <si>
    <t>ORD-1346</t>
  </si>
  <si>
    <t>ORD-1347</t>
  </si>
  <si>
    <t>ORD-1348</t>
  </si>
  <si>
    <t>ORD-1349</t>
  </si>
  <si>
    <t>ORD-1350</t>
  </si>
  <si>
    <t>ORD-1351</t>
  </si>
  <si>
    <t>ORD-1352</t>
  </si>
  <si>
    <t>ORD-1353</t>
  </si>
  <si>
    <t>2024-09-03</t>
  </si>
  <si>
    <t>ORD-1354</t>
  </si>
  <si>
    <t>ORD-1355</t>
  </si>
  <si>
    <t>ORD-1356</t>
  </si>
  <si>
    <t>ORD-1357</t>
  </si>
  <si>
    <t>2024-11-26</t>
  </si>
  <si>
    <t>ORD-1358</t>
  </si>
  <si>
    <t>ORD-1359</t>
  </si>
  <si>
    <t>2024-08-16</t>
  </si>
  <si>
    <t>ORD-1360</t>
  </si>
  <si>
    <t>ORD-1361</t>
  </si>
  <si>
    <t>ORD-1362</t>
  </si>
  <si>
    <t>ORD-1363</t>
  </si>
  <si>
    <t>2024-08-11</t>
  </si>
  <si>
    <t>ORD-1364</t>
  </si>
  <si>
    <t>ORD-1365</t>
  </si>
  <si>
    <t>2024-06-18</t>
  </si>
  <si>
    <t>ORD-1366</t>
  </si>
  <si>
    <t>ORD-1367</t>
  </si>
  <si>
    <t>2024-02-28</t>
  </si>
  <si>
    <t>ORD-1368</t>
  </si>
  <si>
    <t>ORD-1369</t>
  </si>
  <si>
    <t>ORD-1370</t>
  </si>
  <si>
    <t>ORD-1371</t>
  </si>
  <si>
    <t>2024-12-18</t>
  </si>
  <si>
    <t>ORD-1372</t>
  </si>
  <si>
    <t>2024-12-21</t>
  </si>
  <si>
    <t>ORD-1373</t>
  </si>
  <si>
    <t>ORD-1374</t>
  </si>
  <si>
    <t>ORD-1375</t>
  </si>
  <si>
    <t>2024-10-28</t>
  </si>
  <si>
    <t>ORD-1376</t>
  </si>
  <si>
    <t>ORD-1377</t>
  </si>
  <si>
    <t>ORD-1378</t>
  </si>
  <si>
    <t>ORD-1379</t>
  </si>
  <si>
    <t>2024-06-20</t>
  </si>
  <si>
    <t>ORD-1380</t>
  </si>
  <si>
    <t>ORD-1381</t>
  </si>
  <si>
    <t>ORD-1382</t>
  </si>
  <si>
    <t>ORD-1383</t>
  </si>
  <si>
    <t>2024-09-26</t>
  </si>
  <si>
    <t>ORD-1384</t>
  </si>
  <si>
    <t>ORD-1385</t>
  </si>
  <si>
    <t>ORD-1386</t>
  </si>
  <si>
    <t>ORD-1387</t>
  </si>
  <si>
    <t>ORD-1388</t>
  </si>
  <si>
    <t>2024-10-03</t>
  </si>
  <si>
    <t>ORD-1389</t>
  </si>
  <si>
    <t>ORD-1390</t>
  </si>
  <si>
    <t>ORD-1391</t>
  </si>
  <si>
    <t>ORD-1392</t>
  </si>
  <si>
    <t>ORD-1393</t>
  </si>
  <si>
    <t>ORD-1394</t>
  </si>
  <si>
    <t>ORD-1395</t>
  </si>
  <si>
    <t>2024-05-27</t>
  </si>
  <si>
    <t>ORD-1396</t>
  </si>
  <si>
    <t>ORD-1397</t>
  </si>
  <si>
    <t>ORD-1398</t>
  </si>
  <si>
    <t>2024-11-25</t>
  </si>
  <si>
    <t>ORD-1399</t>
  </si>
  <si>
    <t>ORD-1400</t>
  </si>
  <si>
    <t>ORD-1401</t>
  </si>
  <si>
    <t>ORD-1402</t>
  </si>
  <si>
    <t>ORD-1403</t>
  </si>
  <si>
    <t>ORD-1404</t>
  </si>
  <si>
    <t>ORD-1405</t>
  </si>
  <si>
    <t>ORD-1406</t>
  </si>
  <si>
    <t>2024-11-16</t>
  </si>
  <si>
    <t>ORD-1407</t>
  </si>
  <si>
    <t>2024-03-21</t>
  </si>
  <si>
    <t>ORD-1408</t>
  </si>
  <si>
    <t>2024-12-24</t>
  </si>
  <si>
    <t>ORD-1409</t>
  </si>
  <si>
    <t>2024-10-05</t>
  </si>
  <si>
    <t>ORD-1410</t>
  </si>
  <si>
    <t>ORD-1411</t>
  </si>
  <si>
    <t>ORD-1412</t>
  </si>
  <si>
    <t>2024-09-14</t>
  </si>
  <si>
    <t>ORD-1413</t>
  </si>
  <si>
    <t>ORD-1414</t>
  </si>
  <si>
    <t>ORD-1415</t>
  </si>
  <si>
    <t>ORD-1416</t>
  </si>
  <si>
    <t>2024-07-18</t>
  </si>
  <si>
    <t>ORD-1417</t>
  </si>
  <si>
    <t>2024-12-05</t>
  </si>
  <si>
    <t>ORD-1418</t>
  </si>
  <si>
    <t>ORD-1419</t>
  </si>
  <si>
    <t>2024-02-20</t>
  </si>
  <si>
    <t>ORD-1420</t>
  </si>
  <si>
    <t>ORD-1421</t>
  </si>
  <si>
    <t>2024-11-02</t>
  </si>
  <si>
    <t>ORD-1422</t>
  </si>
  <si>
    <t>ORD-1423</t>
  </si>
  <si>
    <t>ORD-1424</t>
  </si>
  <si>
    <t>ORD-1425</t>
  </si>
  <si>
    <t>ORD-1426</t>
  </si>
  <si>
    <t>ORD-1427</t>
  </si>
  <si>
    <t>2024-09-18</t>
  </si>
  <si>
    <t>ORD-1428</t>
  </si>
  <si>
    <t>ORD-1429</t>
  </si>
  <si>
    <t>ORD-1430</t>
  </si>
  <si>
    <t>2024-10-01</t>
  </si>
  <si>
    <t>ORD-1431</t>
  </si>
  <si>
    <t>ORD-1432</t>
  </si>
  <si>
    <t>ORD-1433</t>
  </si>
  <si>
    <t>ORD-1434</t>
  </si>
  <si>
    <t>ORD-1435</t>
  </si>
  <si>
    <t>ORD-1436</t>
  </si>
  <si>
    <t>ORD-1437</t>
  </si>
  <si>
    <t>ORD-1438</t>
  </si>
  <si>
    <t>2024-12-11</t>
  </si>
  <si>
    <t>ORD-1439</t>
  </si>
  <si>
    <t>ORD-1440</t>
  </si>
  <si>
    <t>ORD-1441</t>
  </si>
  <si>
    <t>2024-02-03</t>
  </si>
  <si>
    <t>ORD-1442</t>
  </si>
  <si>
    <t>ORD-1443</t>
  </si>
  <si>
    <t>2024-12-23</t>
  </si>
  <si>
    <t>ORD-1444</t>
  </si>
  <si>
    <t>ORD-1445</t>
  </si>
  <si>
    <t>ORD-1446</t>
  </si>
  <si>
    <t>ORD-1447</t>
  </si>
  <si>
    <t>ORD-1448</t>
  </si>
  <si>
    <t>2024-05-01</t>
  </si>
  <si>
    <t>ORD-1449</t>
  </si>
  <si>
    <t>ORD-1450</t>
  </si>
  <si>
    <t>ORD-1451</t>
  </si>
  <si>
    <t>ORD-1452</t>
  </si>
  <si>
    <t>ORD-1453</t>
  </si>
  <si>
    <t>2024-05-05</t>
  </si>
  <si>
    <t>ORD-1454</t>
  </si>
  <si>
    <t>2024-06-15</t>
  </si>
  <si>
    <t>ORD-1455</t>
  </si>
  <si>
    <t>ORD-1456</t>
  </si>
  <si>
    <t>ORD-1457</t>
  </si>
  <si>
    <t>ORD-1458</t>
  </si>
  <si>
    <t>ORD-1459</t>
  </si>
  <si>
    <t>ORD-1460</t>
  </si>
  <si>
    <t>2024-01-12</t>
  </si>
  <si>
    <t>ORD-1461</t>
  </si>
  <si>
    <t>ORD-1462</t>
  </si>
  <si>
    <t>2024-09-23</t>
  </si>
  <si>
    <t>ORD-1463</t>
  </si>
  <si>
    <t>ORD-1464</t>
  </si>
  <si>
    <t>ORD-1465</t>
  </si>
  <si>
    <t>2024-04-17</t>
  </si>
  <si>
    <t>ORD-1466</t>
  </si>
  <si>
    <t>ORD-1467</t>
  </si>
  <si>
    <t>ORD-1468</t>
  </si>
  <si>
    <t>2024-02-15</t>
  </si>
  <si>
    <t>ORD-1469</t>
  </si>
  <si>
    <t>ORD-1470</t>
  </si>
  <si>
    <t>ORD-1471</t>
  </si>
  <si>
    <t>2024-02-06</t>
  </si>
  <si>
    <t>ORD-1472</t>
  </si>
  <si>
    <t>ORD-1473</t>
  </si>
  <si>
    <t>ORD-1474</t>
  </si>
  <si>
    <t>ORD-1475</t>
  </si>
  <si>
    <t>ORD-1476</t>
  </si>
  <si>
    <t>2024-04-09</t>
  </si>
  <si>
    <t>ORD-1477</t>
  </si>
  <si>
    <t>2024-03-16</t>
  </si>
  <si>
    <t>ORD-1478</t>
  </si>
  <si>
    <t>ORD-1479</t>
  </si>
  <si>
    <t>ORD-1480</t>
  </si>
  <si>
    <t>ORD-1481</t>
  </si>
  <si>
    <t>ORD-1482</t>
  </si>
  <si>
    <t>2024-09-20</t>
  </si>
  <si>
    <t>ORD-1483</t>
  </si>
  <si>
    <t>ORD-1484</t>
  </si>
  <si>
    <t>ORD-1485</t>
  </si>
  <si>
    <t>2024-02-24</t>
  </si>
  <si>
    <t>ORD-1486</t>
  </si>
  <si>
    <t>ORD-1487</t>
  </si>
  <si>
    <t>2024-09-16</t>
  </si>
  <si>
    <t>ORD-1488</t>
  </si>
  <si>
    <t>2024-01-15</t>
  </si>
  <si>
    <t>ORD-1489</t>
  </si>
  <si>
    <t>ORD-1490</t>
  </si>
  <si>
    <t>ORD-1491</t>
  </si>
  <si>
    <t>ORD-1492</t>
  </si>
  <si>
    <t>ORD-1493</t>
  </si>
  <si>
    <t>2024-04-19</t>
  </si>
  <si>
    <t>ORD-1494</t>
  </si>
  <si>
    <t>ORD-1495</t>
  </si>
  <si>
    <t>ORD-1496</t>
  </si>
  <si>
    <t>ORD-1497</t>
  </si>
  <si>
    <t>2024-10-08</t>
  </si>
  <si>
    <t>ORD-1498</t>
  </si>
  <si>
    <t>ORD-1499</t>
  </si>
  <si>
    <t>ORD-1500</t>
  </si>
  <si>
    <t>Row Labels</t>
  </si>
  <si>
    <t>Grand Total</t>
  </si>
  <si>
    <t>Sum of Revenue</t>
  </si>
  <si>
    <t>Sum of Target</t>
  </si>
  <si>
    <t>Sum of Attainment</t>
  </si>
  <si>
    <t>Sum of Gross_Profit</t>
  </si>
  <si>
    <t>Margins %</t>
  </si>
  <si>
    <t>RETAIL SALES PERFORMANCE DASHBOARD | FY 2024</t>
  </si>
  <si>
    <t>Total Revenue</t>
  </si>
  <si>
    <t>Revenue Target</t>
  </si>
  <si>
    <t>Gross Profit</t>
  </si>
  <si>
    <t>Gross Margin %</t>
  </si>
  <si>
    <t>Target Attainment</t>
  </si>
  <si>
    <t>Vs Target</t>
  </si>
  <si>
    <t>Attainment %</t>
  </si>
  <si>
    <t>Office Supplies</t>
  </si>
  <si>
    <t>Margin %</t>
  </si>
  <si>
    <t xml:space="preserve">Monthly Revenue Trend 2024 </t>
  </si>
  <si>
    <t>Key Insights &amp; Recommendations</t>
  </si>
  <si>
    <t>1. South region missed the target by about $12,820, which is the largest gap of any regions. A sales pipeline review is recommended for 2025.</t>
  </si>
  <si>
    <t>2. Office supplies carries a 60% gross margin but only has a revenue of $24,939 and a gross profit of $15,015. The highest-margin category is significantly underutilized.</t>
  </si>
  <si>
    <t>3. Electronics generated $448k in revenue but only has a 25% margin. A pricing or vendor cost review could bring up profitability.</t>
  </si>
  <si>
    <t>4. December revenue fell to $60,468, the lowest month of the year, seasonal demand planning should account for Q4 softness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</si>
</sst>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164" formatCode="yyyy\-mm\-dd"/>
    <numFmt numFmtId="165" formatCode="\$#,##0.00"/>
    <numFmt numFmtId="166" formatCode="&quot;$&quot;#,##0"/>
    <numFmt numFmtId="171" formatCode="0.0%"/>
    <numFmt numFmtId="175" formatCode="&quot;$&quot;#,##0;[Red]\-&quot;$&quot;#,##0"/>
  </numFmts>
  <fonts count="8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0"/>
      <name val="Arial Unicode MS"/>
    </font>
  </fonts>
  <fills count="8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3" tint="0.59999389629810485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theme="4" tint="0.79998168889431442"/>
      </bottom>
      <diagonal/>
    </border>
    <border>
      <left/>
      <right style="thin">
        <color theme="4" tint="0.79998168889431442"/>
      </right>
      <top/>
      <bottom/>
      <diagonal/>
    </border>
    <border>
      <left/>
      <right/>
      <top/>
      <bottom style="thin">
        <color theme="4" tint="0.59999389629810485"/>
      </bottom>
      <diagonal/>
    </border>
    <border>
      <left/>
      <right/>
      <top style="thin">
        <color theme="4" tint="0.79998168889431442"/>
      </top>
      <bottom style="thin">
        <color theme="4" tint="0.59999389629810485"/>
      </bottom>
      <diagonal/>
    </border>
    <border>
      <left style="thin">
        <color theme="4" tint="0.79998168889431442"/>
      </left>
      <right style="thin">
        <color theme="4" tint="0.79998168889431442"/>
      </right>
      <top/>
      <bottom style="thin">
        <color theme="4" tint="0.79998168889431442"/>
      </bottom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31">
    <xf numFmtId="0" fontId="0" fillId="0" borderId="0" xfId="0"/>
    <xf numFmtId="0" fontId="1" fillId="2" borderId="0" xfId="0" applyFont="1" applyFill="1" applyAlignment="1">
      <alignment horizontal="center"/>
    </xf>
    <xf numFmtId="164" fontId="0" fillId="0" borderId="0" xfId="0" applyNumberFormat="1"/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6" fontId="0" fillId="0" borderId="0" xfId="0" applyNumberFormat="1"/>
    <xf numFmtId="10" fontId="0" fillId="0" borderId="0" xfId="0" applyNumberFormat="1"/>
    <xf numFmtId="9" fontId="0" fillId="0" borderId="0" xfId="2" applyFont="1"/>
    <xf numFmtId="0" fontId="0" fillId="0" borderId="1" xfId="0" applyBorder="1"/>
    <xf numFmtId="0" fontId="0" fillId="0" borderId="2" xfId="0" applyBorder="1"/>
    <xf numFmtId="10" fontId="0" fillId="0" borderId="3" xfId="0" applyNumberFormat="1" applyBorder="1"/>
    <xf numFmtId="166" fontId="0" fillId="0" borderId="3" xfId="0" applyNumberFormat="1" applyBorder="1"/>
    <xf numFmtId="0" fontId="3" fillId="4" borderId="4" xfId="0" applyFont="1" applyFill="1" applyBorder="1" applyAlignment="1">
      <alignment horizontal="center"/>
    </xf>
    <xf numFmtId="9" fontId="0" fillId="4" borderId="5" xfId="2" applyFont="1" applyFill="1" applyBorder="1"/>
    <xf numFmtId="9" fontId="0" fillId="0" borderId="3" xfId="2" applyFont="1" applyBorder="1"/>
    <xf numFmtId="0" fontId="4" fillId="5" borderId="0" xfId="0" applyFont="1" applyFill="1" applyAlignment="1">
      <alignment horizontal="center"/>
    </xf>
    <xf numFmtId="0" fontId="4" fillId="6" borderId="0" xfId="0" applyFont="1" applyFill="1" applyAlignment="1">
      <alignment horizontal="center"/>
    </xf>
    <xf numFmtId="0" fontId="5" fillId="0" borderId="0" xfId="0" applyFont="1"/>
    <xf numFmtId="166" fontId="5" fillId="0" borderId="0" xfId="0" applyNumberFormat="1" applyFont="1"/>
    <xf numFmtId="166" fontId="4" fillId="7" borderId="0" xfId="0" applyNumberFormat="1" applyFont="1" applyFill="1" applyAlignment="1">
      <alignment horizontal="center"/>
    </xf>
    <xf numFmtId="166" fontId="7" fillId="7" borderId="0" xfId="0" applyNumberFormat="1" applyFont="1" applyFill="1" applyAlignment="1">
      <alignment horizontal="center"/>
    </xf>
    <xf numFmtId="9" fontId="4" fillId="7" borderId="0" xfId="0" applyNumberFormat="1" applyFont="1" applyFill="1" applyAlignment="1">
      <alignment horizontal="center"/>
    </xf>
    <xf numFmtId="171" fontId="4" fillId="7" borderId="0" xfId="0" applyNumberFormat="1" applyFont="1" applyFill="1" applyAlignment="1">
      <alignment horizontal="center"/>
    </xf>
    <xf numFmtId="0" fontId="4" fillId="7" borderId="0" xfId="0" applyFont="1" applyFill="1" applyAlignment="1">
      <alignment horizontal="center"/>
    </xf>
    <xf numFmtId="166" fontId="4" fillId="7" borderId="0" xfId="1" applyNumberFormat="1" applyFont="1" applyFill="1" applyAlignment="1">
      <alignment horizontal="center"/>
    </xf>
    <xf numFmtId="0" fontId="5" fillId="0" borderId="0" xfId="0" applyFont="1" applyAlignment="1">
      <alignment horizontal="left"/>
    </xf>
    <xf numFmtId="0" fontId="6" fillId="5" borderId="0" xfId="0" applyFont="1" applyFill="1" applyAlignment="1">
      <alignment horizontal="center"/>
    </xf>
    <xf numFmtId="0" fontId="0" fillId="3" borderId="0" xfId="0" applyFill="1" applyAlignment="1">
      <alignment horizontal="left" wrapText="1"/>
    </xf>
    <xf numFmtId="0" fontId="3" fillId="3" borderId="0" xfId="0" applyFont="1" applyFill="1" applyAlignment="1">
      <alignment horizontal="left" wrapText="1"/>
    </xf>
    <xf numFmtId="175" fontId="4" fillId="7" borderId="0" xfId="0" applyNumberFormat="1" applyFont="1" applyFill="1" applyAlignment="1">
      <alignment horizontal="center"/>
    </xf>
  </cellXfs>
  <cellStyles count="3">
    <cellStyle name="Currency" xfId="1" builtinId="4"/>
    <cellStyle name="Normal" xfId="0" builtinId="0"/>
    <cellStyle name="Percent" xfId="2" builtinId="5"/>
  </cellStyles>
  <dxfs count="8"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border>
        <bottom style="thin">
          <color theme="4" tint="0.59999389629810485"/>
        </bottom>
      </border>
    </dxf>
    <dxf>
      <border>
        <bottom style="thin">
          <color theme="4" tint="0.59999389629810485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[Retail_Sales_Raw_Data.xlsx]Dashboard!Monthly Revenue Trend 2024</c:name>
    <c:fmtId val="1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Dashboard!$S$4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movingAvg"/>
            <c:period val="2"/>
            <c:dispRSqr val="0"/>
            <c:dispEq val="0"/>
          </c:trendline>
          <c:cat>
            <c:strRef>
              <c:f>Dashboard!$R$5:$R$16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Dashboard!$S$5:$S$16</c:f>
              <c:numCache>
                <c:formatCode>"$"#,##0</c:formatCode>
                <c:ptCount val="12"/>
                <c:pt idx="0">
                  <c:v>77472.569999999992</c:v>
                </c:pt>
                <c:pt idx="1">
                  <c:v>68330.850000000006</c:v>
                </c:pt>
                <c:pt idx="2">
                  <c:v>94877.309999999983</c:v>
                </c:pt>
                <c:pt idx="3">
                  <c:v>76001.98</c:v>
                </c:pt>
                <c:pt idx="4">
                  <c:v>110358.80000000003</c:v>
                </c:pt>
                <c:pt idx="5">
                  <c:v>72438.870000000024</c:v>
                </c:pt>
                <c:pt idx="6">
                  <c:v>79721.130000000019</c:v>
                </c:pt>
                <c:pt idx="7">
                  <c:v>79663.5</c:v>
                </c:pt>
                <c:pt idx="8">
                  <c:v>81226.780000000013</c:v>
                </c:pt>
                <c:pt idx="9">
                  <c:v>87537.239999999991</c:v>
                </c:pt>
                <c:pt idx="10">
                  <c:v>85582.880000000019</c:v>
                </c:pt>
                <c:pt idx="11">
                  <c:v>60648.29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BB-4574-A073-DED3143DE6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63826783"/>
        <c:axId val="763821503"/>
      </c:barChart>
      <c:catAx>
        <c:axId val="7638267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3821503"/>
        <c:crosses val="autoZero"/>
        <c:auto val="1"/>
        <c:lblAlgn val="ctr"/>
        <c:lblOffset val="100"/>
        <c:noMultiLvlLbl val="0"/>
      </c:catAx>
      <c:valAx>
        <c:axId val="763821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38267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260902</xdr:colOff>
      <xdr:row>3</xdr:row>
      <xdr:rowOff>11595</xdr:rowOff>
    </xdr:from>
    <xdr:to>
      <xdr:col>26</xdr:col>
      <xdr:colOff>542510</xdr:colOff>
      <xdr:row>14</xdr:row>
      <xdr:rowOff>162339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99D6A9F-BC50-8A21-7EC3-AF232015A3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ommy Pham" refreshedDate="46174.601683912035" createdVersion="8" refreshedVersion="8" minRefreshableVersion="3" recordCount="500" xr:uid="{FEDF3194-7A9C-4581-81D4-03AEA0E3A926}">
  <cacheSource type="worksheet">
    <worksheetSource ref="A1:P501" sheet="Raw Data"/>
  </cacheSource>
  <cacheFields count="17">
    <cacheField name="Order_ID" numFmtId="0">
      <sharedItems/>
    </cacheField>
    <cacheField name="Date" numFmtId="164">
      <sharedItems/>
    </cacheField>
    <cacheField name="Month" numFmtId="0">
      <sharedItems count="12">
        <s v="Nov"/>
        <s v="Oct"/>
        <s v="Apr"/>
        <s v="Feb"/>
        <s v="Dec"/>
        <s v="Sep"/>
        <s v="Jul"/>
        <s v="Jan"/>
        <s v="Mar"/>
        <s v="May"/>
        <s v="Jun"/>
        <s v="Aug"/>
      </sharedItems>
    </cacheField>
    <cacheField name="Quarter" numFmtId="0">
      <sharedItems/>
    </cacheField>
    <cacheField name="Region" numFmtId="0">
      <sharedItems count="4">
        <s v="North"/>
        <s v="East"/>
        <s v="West"/>
        <s v="South"/>
      </sharedItems>
    </cacheField>
    <cacheField name="State" numFmtId="0">
      <sharedItems/>
    </cacheField>
    <cacheField name="Category" numFmtId="0">
      <sharedItems count="3">
        <s v="Electronics"/>
        <s v="Office Supply"/>
        <s v="Furniture"/>
      </sharedItems>
    </cacheField>
    <cacheField name="Sub_Category" numFmtId="0">
      <sharedItems/>
    </cacheField>
    <cacheField name="Product" numFmtId="0">
      <sharedItems/>
    </cacheField>
    <cacheField name="Sales_Rep" numFmtId="0">
      <sharedItems/>
    </cacheField>
    <cacheField name="Units" numFmtId="165">
      <sharedItems containsSemiMixedTypes="0" containsString="0" containsNumber="1" containsInteger="1" minValue="1" maxValue="20"/>
    </cacheField>
    <cacheField name="Unit_Price" numFmtId="165">
      <sharedItems containsSemiMixedTypes="0" containsString="0" containsNumber="1" minValue="8.1999999999999993" maxValue="712.6"/>
    </cacheField>
    <cacheField name="Revenue" numFmtId="165">
      <sharedItems containsSemiMixedTypes="0" containsString="0" containsNumber="1" minValue="8.33" maxValue="11950.05"/>
    </cacheField>
    <cacheField name="COGS" numFmtId="165">
      <sharedItems containsSemiMixedTypes="0" containsString="0" containsNumber="1" minValue="3.02" maxValue="10228.02"/>
    </cacheField>
    <cacheField name="Gross_Profit" numFmtId="165">
      <sharedItems containsSemiMixedTypes="0" containsString="0" containsNumber="1" minValue="5.2" maxValue="3293.07"/>
    </cacheField>
    <cacheField name="Target" numFmtId="165">
      <sharedItems containsSemiMixedTypes="0" containsString="0" containsNumber="1" minValue="9.14" maxValue="13274.18"/>
    </cacheField>
    <cacheField name="Attainment" numFmtId="0" formula="Revenue/Target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s v="ORD-1001"/>
    <s v="2024-11-04"/>
    <x v="0"/>
    <s v="Q4"/>
    <x v="0"/>
    <s v="Minnesota"/>
    <x v="0"/>
    <s v="Monitors"/>
    <s v="Monitors"/>
    <s v="James Liu"/>
    <n v="4"/>
    <n v="259.81"/>
    <n v="1039.24"/>
    <n v="814.14"/>
    <n v="225.1"/>
    <n v="1207.8699999999999"/>
  </r>
  <r>
    <s v="ORD-1002"/>
    <s v="2024-10-14"/>
    <x v="1"/>
    <s v="Q4"/>
    <x v="0"/>
    <s v="Illinois"/>
    <x v="0"/>
    <s v="Monitors"/>
    <s v="Monitors"/>
    <s v="Sarah Kim"/>
    <n v="20"/>
    <n v="265.02999999999997"/>
    <n v="5300.6"/>
    <n v="3810.61"/>
    <n v="1489.99"/>
    <n v="4874.3999999999996"/>
  </r>
  <r>
    <s v="ORD-1003"/>
    <s v="2024-04-15"/>
    <x v="2"/>
    <s v="Q2"/>
    <x v="1"/>
    <s v="New York"/>
    <x v="0"/>
    <s v="Headphones"/>
    <s v="Headphones"/>
    <s v="James Liu"/>
    <n v="5"/>
    <n v="91.96"/>
    <n v="459.8"/>
    <n v="291.45999999999998"/>
    <n v="168.34"/>
    <n v="513.70000000000005"/>
  </r>
  <r>
    <s v="ORD-1004"/>
    <s v="2024-02-13"/>
    <x v="3"/>
    <s v="Q1"/>
    <x v="0"/>
    <s v="Minnesota"/>
    <x v="1"/>
    <s v="Folders"/>
    <s v="Folders"/>
    <s v="Sarah Kim"/>
    <n v="15"/>
    <n v="9.5500000000000007"/>
    <n v="143.25"/>
    <n v="45.16"/>
    <n v="98.09"/>
    <n v="170.55"/>
  </r>
  <r>
    <s v="ORD-1005"/>
    <s v="2024-02-18"/>
    <x v="3"/>
    <s v="Q1"/>
    <x v="1"/>
    <s v="New Jersey"/>
    <x v="2"/>
    <s v="Chair"/>
    <s v="Chair"/>
    <s v="James Liu"/>
    <n v="2"/>
    <n v="322.68"/>
    <n v="645.36"/>
    <n v="386.13"/>
    <n v="259.23"/>
    <n v="723.17"/>
  </r>
  <r>
    <s v="ORD-1006"/>
    <s v="2024-04-28"/>
    <x v="2"/>
    <s v="Q2"/>
    <x v="0"/>
    <s v="Michigan"/>
    <x v="1"/>
    <s v="Stapler"/>
    <s v="Stapler"/>
    <s v="Aisha Brown"/>
    <n v="12"/>
    <n v="22.6"/>
    <n v="271.2"/>
    <n v="115.95"/>
    <n v="155.25"/>
    <n v="264.24"/>
  </r>
  <r>
    <s v="ORD-1007"/>
    <s v="2024-12-22"/>
    <x v="4"/>
    <s v="Q4"/>
    <x v="0"/>
    <s v="Wisconsin"/>
    <x v="2"/>
    <s v="Chair"/>
    <s v="Chair"/>
    <s v="Carlos Ruiz"/>
    <n v="13"/>
    <n v="289.13"/>
    <n v="3758.69"/>
    <n v="2413.1799999999998"/>
    <n v="1345.51"/>
    <n v="4412.28"/>
  </r>
  <r>
    <s v="ORD-1008"/>
    <s v="2024-11-11"/>
    <x v="0"/>
    <s v="Q4"/>
    <x v="0"/>
    <s v="Wisconsin"/>
    <x v="0"/>
    <s v="Keyboards"/>
    <s v="Keyboards"/>
    <s v="Tom Kowalski"/>
    <n v="3"/>
    <n v="53.91"/>
    <n v="161.72999999999999"/>
    <n v="87.4"/>
    <n v="74.33"/>
    <n v="190.84"/>
  </r>
  <r>
    <s v="ORD-1009"/>
    <s v="2024-04-21"/>
    <x v="2"/>
    <s v="Q2"/>
    <x v="2"/>
    <s v="Nevada"/>
    <x v="2"/>
    <s v="Cabinet"/>
    <s v="Cabinet"/>
    <s v="Aisha Brown"/>
    <n v="5"/>
    <n v="241.43"/>
    <n v="1207.1500000000001"/>
    <n v="779.73"/>
    <n v="427.42"/>
    <n v="1263.26"/>
  </r>
  <r>
    <s v="ORD-1010"/>
    <s v="2024-12-19"/>
    <x v="4"/>
    <s v="Q4"/>
    <x v="2"/>
    <s v="Nevada"/>
    <x v="1"/>
    <s v="Pens"/>
    <s v="Pens"/>
    <s v="Maria Santos"/>
    <n v="5"/>
    <n v="13.19"/>
    <n v="65.95"/>
    <n v="20.02"/>
    <n v="45.93"/>
    <n v="58.16"/>
  </r>
  <r>
    <s v="ORD-1011"/>
    <s v="2024-02-05"/>
    <x v="3"/>
    <s v="Q1"/>
    <x v="3"/>
    <s v="Louisiana"/>
    <x v="2"/>
    <s v="Desk"/>
    <s v="Desk"/>
    <s v="Maria Santos"/>
    <n v="20"/>
    <n v="410.32"/>
    <n v="8206.4"/>
    <n v="5877.83"/>
    <n v="2328.5700000000002"/>
    <n v="8495.18"/>
  </r>
  <r>
    <s v="ORD-1012"/>
    <s v="2024-11-24"/>
    <x v="0"/>
    <s v="Q4"/>
    <x v="0"/>
    <s v="Minnesota"/>
    <x v="2"/>
    <s v="Bookcase"/>
    <s v="Bookcase"/>
    <s v="Aisha Brown"/>
    <n v="14"/>
    <n v="179.85"/>
    <n v="2517.9"/>
    <n v="1622.57"/>
    <n v="895.33"/>
    <n v="2143.0700000000002"/>
  </r>
  <r>
    <s v="ORD-1013"/>
    <s v="2024-09-25"/>
    <x v="5"/>
    <s v="Q3"/>
    <x v="3"/>
    <s v="Texas"/>
    <x v="2"/>
    <s v="Bookcase"/>
    <s v="Bookcase"/>
    <s v="Priya Nair"/>
    <n v="17"/>
    <n v="208.33"/>
    <n v="3541.61"/>
    <n v="2062.23"/>
    <n v="1479.38"/>
    <n v="3199.82"/>
  </r>
  <r>
    <s v="ORD-1014"/>
    <s v="2024-09-25"/>
    <x v="5"/>
    <s v="Q3"/>
    <x v="0"/>
    <s v="Minnesota"/>
    <x v="1"/>
    <s v="Paper"/>
    <s v="Paper"/>
    <s v="Aisha Brown"/>
    <n v="12"/>
    <n v="16.600000000000001"/>
    <n v="199.2"/>
    <n v="99.64"/>
    <n v="99.56"/>
    <n v="227.3"/>
  </r>
  <r>
    <s v="ORD-1015"/>
    <s v="2024-04-02"/>
    <x v="2"/>
    <s v="Q2"/>
    <x v="3"/>
    <s v="Texas"/>
    <x v="0"/>
    <s v="Headphones"/>
    <s v="Headphones"/>
    <s v="Derek Thompson"/>
    <n v="18"/>
    <n v="101"/>
    <n v="1818"/>
    <n v="1108.71"/>
    <n v="709.29"/>
    <n v="1627"/>
  </r>
  <r>
    <s v="ORD-1016"/>
    <s v="2024-09-06"/>
    <x v="5"/>
    <s v="Q3"/>
    <x v="1"/>
    <s v="Massachusetts"/>
    <x v="0"/>
    <s v="Monitors"/>
    <s v="Monitors"/>
    <s v="Derek Thompson"/>
    <n v="13"/>
    <n v="291.93"/>
    <n v="3795.09"/>
    <n v="2728.74"/>
    <n v="1066.3499999999999"/>
    <n v="4089.05"/>
  </r>
  <r>
    <s v="ORD-1017"/>
    <s v="2024-09-15"/>
    <x v="5"/>
    <s v="Q3"/>
    <x v="0"/>
    <s v="Wisconsin"/>
    <x v="0"/>
    <s v="Laptops"/>
    <s v="Laptops"/>
    <s v="Maria Santos"/>
    <n v="19"/>
    <n v="628.95000000000005"/>
    <n v="11950.05"/>
    <n v="9933.27"/>
    <n v="2016.78"/>
    <n v="12618.7"/>
  </r>
  <r>
    <s v="ORD-1018"/>
    <s v="2024-02-23"/>
    <x v="3"/>
    <s v="Q1"/>
    <x v="0"/>
    <s v="Wisconsin"/>
    <x v="0"/>
    <s v="Laptops"/>
    <s v="Laptops"/>
    <s v="Derek Thompson"/>
    <n v="3"/>
    <n v="696.75"/>
    <n v="2090.25"/>
    <n v="1562.21"/>
    <n v="528.04"/>
    <n v="1980.44"/>
  </r>
  <r>
    <s v="ORD-1019"/>
    <s v="2024-04-18"/>
    <x v="2"/>
    <s v="Q2"/>
    <x v="3"/>
    <s v="Louisiana"/>
    <x v="0"/>
    <s v="Headphones"/>
    <s v="Headphones"/>
    <s v="Tom Kowalski"/>
    <n v="7"/>
    <n v="100.84"/>
    <n v="705.88"/>
    <n v="402.96"/>
    <n v="302.92"/>
    <n v="762.8"/>
  </r>
  <r>
    <s v="ORD-1020"/>
    <s v="2024-07-14"/>
    <x v="6"/>
    <s v="Q3"/>
    <x v="2"/>
    <s v="California"/>
    <x v="2"/>
    <s v="Desk"/>
    <s v="Desk"/>
    <s v="Carlos Ruiz"/>
    <n v="11"/>
    <n v="383.09"/>
    <n v="4213.99"/>
    <n v="3172.58"/>
    <n v="1041.4100000000001"/>
    <n v="3743.05"/>
  </r>
  <r>
    <s v="ORD-1021"/>
    <s v="2024-04-18"/>
    <x v="2"/>
    <s v="Q2"/>
    <x v="2"/>
    <s v="Washington"/>
    <x v="1"/>
    <s v="Pens"/>
    <s v="Pens"/>
    <s v="James Liu"/>
    <n v="8"/>
    <n v="11.47"/>
    <n v="91.76"/>
    <n v="33.200000000000003"/>
    <n v="58.56"/>
    <n v="80.42"/>
  </r>
  <r>
    <s v="ORD-1022"/>
    <s v="2024-01-21"/>
    <x v="7"/>
    <s v="Q1"/>
    <x v="0"/>
    <s v="Illinois"/>
    <x v="0"/>
    <s v="Monitors"/>
    <s v="Monitors"/>
    <s v="Maria Santos"/>
    <n v="16"/>
    <n v="274.76"/>
    <n v="4396.16"/>
    <n v="3108.4"/>
    <n v="1287.76"/>
    <n v="4353.8"/>
  </r>
  <r>
    <s v="ORD-1023"/>
    <s v="2024-03-13"/>
    <x v="8"/>
    <s v="Q1"/>
    <x v="0"/>
    <s v="Michigan"/>
    <x v="1"/>
    <s v="Stapler"/>
    <s v="Stapler"/>
    <s v="Carlos Ruiz"/>
    <n v="18"/>
    <n v="21.06"/>
    <n v="379.08"/>
    <n v="182.91"/>
    <n v="196.17"/>
    <n v="386.79"/>
  </r>
  <r>
    <s v="ORD-1024"/>
    <s v="2024-05-07"/>
    <x v="9"/>
    <s v="Q2"/>
    <x v="0"/>
    <s v="Illinois"/>
    <x v="2"/>
    <s v="Bookcase"/>
    <s v="Bookcase"/>
    <s v="Priya Nair"/>
    <n v="19"/>
    <n v="177.73"/>
    <n v="3376.87"/>
    <n v="2274.71"/>
    <n v="1102.1600000000001"/>
    <n v="3956.97"/>
  </r>
  <r>
    <s v="ORD-1025"/>
    <s v="2024-01-17"/>
    <x v="7"/>
    <s v="Q1"/>
    <x v="0"/>
    <s v="Wisconsin"/>
    <x v="0"/>
    <s v="Laptops"/>
    <s v="Laptops"/>
    <s v="Carlos Ruiz"/>
    <n v="8"/>
    <n v="672.78"/>
    <n v="5382.24"/>
    <n v="4119.97"/>
    <n v="1262.27"/>
    <n v="6348.67"/>
  </r>
  <r>
    <s v="ORD-1026"/>
    <s v="2024-10-20"/>
    <x v="1"/>
    <s v="Q4"/>
    <x v="0"/>
    <s v="Illinois"/>
    <x v="1"/>
    <s v="Folders"/>
    <s v="Folders"/>
    <s v="Aisha Brown"/>
    <n v="7"/>
    <n v="9.7799999999999994"/>
    <n v="68.459999999999994"/>
    <n v="21.36"/>
    <n v="47.1"/>
    <n v="65.72"/>
  </r>
  <r>
    <s v="ORD-1027"/>
    <s v="2024-07-05"/>
    <x v="6"/>
    <s v="Q3"/>
    <x v="1"/>
    <s v="Massachusetts"/>
    <x v="1"/>
    <s v="Paper"/>
    <s v="Paper"/>
    <s v="James Liu"/>
    <n v="20"/>
    <n v="16.23"/>
    <n v="324.60000000000002"/>
    <n v="167.98"/>
    <n v="156.62"/>
    <n v="389.08"/>
  </r>
  <r>
    <s v="ORD-1028"/>
    <s v="2024-09-07"/>
    <x v="5"/>
    <s v="Q3"/>
    <x v="1"/>
    <s v="Pennsylvania"/>
    <x v="1"/>
    <s v="Paper"/>
    <s v="Paper"/>
    <s v="Aisha Brown"/>
    <n v="12"/>
    <n v="19.37"/>
    <n v="232.44"/>
    <n v="93.94"/>
    <n v="138.5"/>
    <n v="233.22"/>
  </r>
  <r>
    <s v="ORD-1029"/>
    <s v="2024-10-26"/>
    <x v="1"/>
    <s v="Q4"/>
    <x v="0"/>
    <s v="Minnesota"/>
    <x v="2"/>
    <s v="Desk"/>
    <s v="Desk"/>
    <s v="Priya Nair"/>
    <n v="5"/>
    <n v="456.87"/>
    <n v="2284.35"/>
    <n v="1367.03"/>
    <n v="917.32"/>
    <n v="2653.04"/>
  </r>
  <r>
    <s v="ORD-1030"/>
    <s v="2024-05-10"/>
    <x v="9"/>
    <s v="Q2"/>
    <x v="3"/>
    <s v="Georgia"/>
    <x v="0"/>
    <s v="Keyboards"/>
    <s v="Keyboards"/>
    <s v="James Liu"/>
    <n v="9"/>
    <n v="55.06"/>
    <n v="495.54"/>
    <n v="280.94"/>
    <n v="214.6"/>
    <n v="567.96"/>
  </r>
  <r>
    <s v="ORD-1031"/>
    <s v="2024-11-14"/>
    <x v="0"/>
    <s v="Q4"/>
    <x v="1"/>
    <s v="New York"/>
    <x v="0"/>
    <s v="Keyboards"/>
    <s v="Keyboards"/>
    <s v="Sarah Kim"/>
    <n v="9"/>
    <n v="57.98"/>
    <n v="521.82000000000005"/>
    <n v="260.86"/>
    <n v="260.95999999999998"/>
    <n v="524.24"/>
  </r>
  <r>
    <s v="ORD-1032"/>
    <s v="2024-09-01"/>
    <x v="5"/>
    <s v="Q3"/>
    <x v="0"/>
    <s v="Illinois"/>
    <x v="2"/>
    <s v="Chair"/>
    <s v="Chair"/>
    <s v="Priya Nair"/>
    <n v="12"/>
    <n v="312.83"/>
    <n v="3753.96"/>
    <n v="2298.81"/>
    <n v="1455.15"/>
    <n v="3385.44"/>
  </r>
  <r>
    <s v="ORD-1033"/>
    <s v="2024-01-10"/>
    <x v="7"/>
    <s v="Q1"/>
    <x v="1"/>
    <s v="New York"/>
    <x v="1"/>
    <s v="Pens"/>
    <s v="Pens"/>
    <s v="Sarah Kim"/>
    <n v="4"/>
    <n v="12.44"/>
    <n v="49.76"/>
    <n v="15.77"/>
    <n v="33.99"/>
    <n v="52.05"/>
  </r>
  <r>
    <s v="ORD-1034"/>
    <s v="2024-10-24"/>
    <x v="1"/>
    <s v="Q4"/>
    <x v="3"/>
    <s v="Florida"/>
    <x v="0"/>
    <s v="Monitors"/>
    <s v="Monitors"/>
    <s v="Sarah Kim"/>
    <n v="1"/>
    <n v="301.36"/>
    <n v="301.36"/>
    <n v="193.59"/>
    <n v="107.77"/>
    <n v="353.67"/>
  </r>
  <r>
    <s v="ORD-1035"/>
    <s v="2024-11-28"/>
    <x v="0"/>
    <s v="Q4"/>
    <x v="3"/>
    <s v="Georgia"/>
    <x v="0"/>
    <s v="Laptops"/>
    <s v="Laptops"/>
    <s v="Derek Thompson"/>
    <n v="2"/>
    <n v="634.73"/>
    <n v="1269.46"/>
    <n v="1077.29"/>
    <n v="192.17"/>
    <n v="1177.8699999999999"/>
  </r>
  <r>
    <s v="ORD-1036"/>
    <s v="2024-06-10"/>
    <x v="10"/>
    <s v="Q2"/>
    <x v="3"/>
    <s v="Florida"/>
    <x v="0"/>
    <s v="Monitors"/>
    <s v="Monitors"/>
    <s v="Aisha Brown"/>
    <n v="9"/>
    <n v="274.31"/>
    <n v="2468.79"/>
    <n v="1865.58"/>
    <n v="603.21"/>
    <n v="2933.94"/>
  </r>
  <r>
    <s v="ORD-1037"/>
    <s v="2024-06-21"/>
    <x v="10"/>
    <s v="Q2"/>
    <x v="2"/>
    <s v="Oregon"/>
    <x v="0"/>
    <s v="Laptops"/>
    <s v="Laptops"/>
    <s v="Aisha Brown"/>
    <n v="9"/>
    <n v="699.01"/>
    <n v="6291.09"/>
    <n v="4529.57"/>
    <n v="1761.52"/>
    <n v="7466.81"/>
  </r>
  <r>
    <s v="ORD-1038"/>
    <s v="2024-01-04"/>
    <x v="7"/>
    <s v="Q1"/>
    <x v="2"/>
    <s v="Oregon"/>
    <x v="2"/>
    <s v="Bookcase"/>
    <s v="Bookcase"/>
    <s v="Carlos Ruiz"/>
    <n v="17"/>
    <n v="192.52"/>
    <n v="3272.84"/>
    <n v="1961.59"/>
    <n v="1311.25"/>
    <n v="3812.29"/>
  </r>
  <r>
    <s v="ORD-1039"/>
    <s v="2024-05-02"/>
    <x v="9"/>
    <s v="Q2"/>
    <x v="2"/>
    <s v="California"/>
    <x v="2"/>
    <s v="Chair"/>
    <s v="Chair"/>
    <s v="Tom Kowalski"/>
    <n v="3"/>
    <n v="301.58"/>
    <n v="904.74"/>
    <n v="595.59"/>
    <n v="309.14999999999998"/>
    <n v="1060.5999999999999"/>
  </r>
  <r>
    <s v="ORD-1040"/>
    <s v="2024-11-28"/>
    <x v="0"/>
    <s v="Q4"/>
    <x v="0"/>
    <s v="Minnesota"/>
    <x v="2"/>
    <s v="Bookcase"/>
    <s v="Bookcase"/>
    <s v="Priya Nair"/>
    <n v="11"/>
    <n v="201.51"/>
    <n v="2216.61"/>
    <n v="1307.1199999999999"/>
    <n v="909.49"/>
    <n v="2113.4899999999998"/>
  </r>
  <r>
    <s v="ORD-1041"/>
    <s v="2024-04-14"/>
    <x v="2"/>
    <s v="Q2"/>
    <x v="2"/>
    <s v="Washington"/>
    <x v="2"/>
    <s v="Bookcase"/>
    <s v="Bookcase"/>
    <s v="Tom Kowalski"/>
    <n v="1"/>
    <n v="191.34"/>
    <n v="191.34"/>
    <n v="117.65"/>
    <n v="73.69"/>
    <n v="176.71"/>
  </r>
  <r>
    <s v="ORD-1042"/>
    <s v="2024-08-15"/>
    <x v="11"/>
    <s v="Q3"/>
    <x v="2"/>
    <s v="Washington"/>
    <x v="2"/>
    <s v="Cabinet"/>
    <s v="Cabinet"/>
    <s v="Tom Kowalski"/>
    <n v="6"/>
    <n v="275.27"/>
    <n v="1651.62"/>
    <n v="975.25"/>
    <n v="676.37"/>
    <n v="1567.92"/>
  </r>
  <r>
    <s v="ORD-1043"/>
    <s v="2024-02-27"/>
    <x v="3"/>
    <s v="Q1"/>
    <x v="3"/>
    <s v="Georgia"/>
    <x v="0"/>
    <s v="Monitors"/>
    <s v="Monitors"/>
    <s v="James Liu"/>
    <n v="2"/>
    <n v="260.25"/>
    <n v="520.5"/>
    <n v="389.79"/>
    <n v="130.71"/>
    <n v="528.98"/>
  </r>
  <r>
    <s v="ORD-1044"/>
    <s v="2024-08-14"/>
    <x v="11"/>
    <s v="Q3"/>
    <x v="3"/>
    <s v="Louisiana"/>
    <x v="1"/>
    <s v="Stapler"/>
    <s v="Stapler"/>
    <s v="James Liu"/>
    <n v="1"/>
    <n v="20.87"/>
    <n v="20.87"/>
    <n v="10.39"/>
    <n v="10.48"/>
    <n v="24.02"/>
  </r>
  <r>
    <s v="ORD-1045"/>
    <s v="2024-07-08"/>
    <x v="6"/>
    <s v="Q3"/>
    <x v="3"/>
    <s v="Louisiana"/>
    <x v="0"/>
    <s v="Monitors"/>
    <s v="Monitors"/>
    <s v="Tom Kowalski"/>
    <n v="4"/>
    <n v="303.38"/>
    <n v="1213.52"/>
    <n v="796.52"/>
    <n v="417"/>
    <n v="1371.88"/>
  </r>
  <r>
    <s v="ORD-1046"/>
    <s v="2024-08-20"/>
    <x v="11"/>
    <s v="Q3"/>
    <x v="2"/>
    <s v="Nevada"/>
    <x v="0"/>
    <s v="Headphones"/>
    <s v="Headphones"/>
    <s v="Derek Thompson"/>
    <n v="8"/>
    <n v="94.05"/>
    <n v="752.4"/>
    <n v="496.31"/>
    <n v="256.08999999999997"/>
    <n v="712.57"/>
  </r>
  <r>
    <s v="ORD-1047"/>
    <s v="2024-11-08"/>
    <x v="0"/>
    <s v="Q4"/>
    <x v="1"/>
    <s v="Massachusetts"/>
    <x v="0"/>
    <s v="Keyboards"/>
    <s v="Keyboards"/>
    <s v="Priya Nair"/>
    <n v="11"/>
    <n v="52.08"/>
    <n v="572.88"/>
    <n v="324.05"/>
    <n v="248.83"/>
    <n v="595.25"/>
  </r>
  <r>
    <s v="ORD-1048"/>
    <s v="2024-03-08"/>
    <x v="8"/>
    <s v="Q1"/>
    <x v="2"/>
    <s v="Washington"/>
    <x v="2"/>
    <s v="Chair"/>
    <s v="Chair"/>
    <s v="Maria Santos"/>
    <n v="14"/>
    <n v="282.98"/>
    <n v="3961.72"/>
    <n v="2615.0100000000002"/>
    <n v="1346.71"/>
    <n v="4013.51"/>
  </r>
  <r>
    <s v="ORD-1049"/>
    <s v="2024-04-27"/>
    <x v="2"/>
    <s v="Q2"/>
    <x v="2"/>
    <s v="Nevada"/>
    <x v="2"/>
    <s v="Desk"/>
    <s v="Desk"/>
    <s v="Tom Kowalski"/>
    <n v="19"/>
    <n v="449.97"/>
    <n v="8549.43"/>
    <n v="5256.36"/>
    <n v="3293.07"/>
    <n v="7284.66"/>
  </r>
  <r>
    <s v="ORD-1050"/>
    <s v="2024-05-25"/>
    <x v="9"/>
    <s v="Q2"/>
    <x v="2"/>
    <s v="Nevada"/>
    <x v="2"/>
    <s v="Chair"/>
    <s v="Chair"/>
    <s v="Tom Kowalski"/>
    <n v="9"/>
    <n v="309.27"/>
    <n v="2783.43"/>
    <n v="1699.03"/>
    <n v="1084.4000000000001"/>
    <n v="2394.19"/>
  </r>
  <r>
    <s v="ORD-1051"/>
    <s v="2024-11-22"/>
    <x v="0"/>
    <s v="Q4"/>
    <x v="2"/>
    <s v="Washington"/>
    <x v="1"/>
    <s v="Pens"/>
    <s v="Pens"/>
    <s v="Maria Santos"/>
    <n v="18"/>
    <n v="13.15"/>
    <n v="236.7"/>
    <n v="68.59"/>
    <n v="168.11"/>
    <n v="233.84"/>
  </r>
  <r>
    <s v="ORD-1052"/>
    <s v="2024-02-21"/>
    <x v="3"/>
    <s v="Q1"/>
    <x v="2"/>
    <s v="Washington"/>
    <x v="1"/>
    <s v="Pens"/>
    <s v="Pens"/>
    <s v="Tom Kowalski"/>
    <n v="13"/>
    <n v="10.92"/>
    <n v="141.96"/>
    <n v="51.1"/>
    <n v="90.86"/>
    <n v="143.26"/>
  </r>
  <r>
    <s v="ORD-1053"/>
    <s v="2024-07-09"/>
    <x v="6"/>
    <s v="Q3"/>
    <x v="2"/>
    <s v="Oregon"/>
    <x v="0"/>
    <s v="Headphones"/>
    <s v="Headphones"/>
    <s v="Carlos Ruiz"/>
    <n v="18"/>
    <n v="85.87"/>
    <n v="1545.66"/>
    <n v="1031.6300000000001"/>
    <n v="514.03"/>
    <n v="1828.78"/>
  </r>
  <r>
    <s v="ORD-1054"/>
    <s v="2024-11-03"/>
    <x v="0"/>
    <s v="Q4"/>
    <x v="0"/>
    <s v="Illinois"/>
    <x v="0"/>
    <s v="Monitors"/>
    <s v="Monitors"/>
    <s v="James Liu"/>
    <n v="20"/>
    <n v="299"/>
    <n v="5980"/>
    <n v="3860.95"/>
    <n v="2119.0500000000002"/>
    <n v="5347.18"/>
  </r>
  <r>
    <s v="ORD-1055"/>
    <s v="2024-10-07"/>
    <x v="1"/>
    <s v="Q4"/>
    <x v="2"/>
    <s v="Oregon"/>
    <x v="1"/>
    <s v="Pens"/>
    <s v="Pens"/>
    <s v="Aisha Brown"/>
    <n v="4"/>
    <n v="12.25"/>
    <n v="49"/>
    <n v="16.440000000000001"/>
    <n v="32.56"/>
    <n v="44.46"/>
  </r>
  <r>
    <s v="ORD-1056"/>
    <s v="2024-02-19"/>
    <x v="3"/>
    <s v="Q1"/>
    <x v="0"/>
    <s v="Minnesota"/>
    <x v="2"/>
    <s v="Cabinet"/>
    <s v="Cabinet"/>
    <s v="Carlos Ruiz"/>
    <n v="7"/>
    <n v="254.63"/>
    <n v="1782.41"/>
    <n v="1072.51"/>
    <n v="709.9"/>
    <n v="1945.88"/>
  </r>
  <r>
    <s v="ORD-1057"/>
    <s v="2024-02-23"/>
    <x v="3"/>
    <s v="Q1"/>
    <x v="1"/>
    <s v="New York"/>
    <x v="2"/>
    <s v="Desk"/>
    <s v="Desk"/>
    <s v="Tom Kowalski"/>
    <n v="14"/>
    <n v="407.17"/>
    <n v="5700.38"/>
    <n v="3983.32"/>
    <n v="1717.06"/>
    <n v="4982.8999999999996"/>
  </r>
  <r>
    <s v="ORD-1058"/>
    <s v="2024-01-28"/>
    <x v="7"/>
    <s v="Q1"/>
    <x v="2"/>
    <s v="Nevada"/>
    <x v="0"/>
    <s v="Headphones"/>
    <s v="Headphones"/>
    <s v="Aisha Brown"/>
    <n v="15"/>
    <n v="103.75"/>
    <n v="1556.25"/>
    <n v="918.66"/>
    <n v="637.59"/>
    <n v="1560.02"/>
  </r>
  <r>
    <s v="ORD-1059"/>
    <s v="2024-10-26"/>
    <x v="1"/>
    <s v="Q4"/>
    <x v="2"/>
    <s v="Nevada"/>
    <x v="1"/>
    <s v="Folders"/>
    <s v="Folders"/>
    <s v="Derek Thompson"/>
    <n v="8"/>
    <n v="8.68"/>
    <n v="69.44"/>
    <n v="24.79"/>
    <n v="44.65"/>
    <n v="61.13"/>
  </r>
  <r>
    <s v="ORD-1060"/>
    <s v="2024-04-25"/>
    <x v="2"/>
    <s v="Q2"/>
    <x v="2"/>
    <s v="Nevada"/>
    <x v="1"/>
    <s v="Paper"/>
    <s v="Paper"/>
    <s v="Aisha Brown"/>
    <n v="11"/>
    <n v="17.98"/>
    <n v="197.78"/>
    <n v="85.2"/>
    <n v="112.58"/>
    <n v="182.8"/>
  </r>
  <r>
    <s v="ORD-1061"/>
    <s v="2024-06-09"/>
    <x v="10"/>
    <s v="Q2"/>
    <x v="1"/>
    <s v="New York"/>
    <x v="2"/>
    <s v="Chair"/>
    <s v="Chair"/>
    <s v="Derek Thompson"/>
    <n v="14"/>
    <n v="284.31"/>
    <n v="3980.34"/>
    <n v="2656.96"/>
    <n v="1323.38"/>
    <n v="4439.5"/>
  </r>
  <r>
    <s v="ORD-1062"/>
    <s v="2024-11-23"/>
    <x v="0"/>
    <s v="Q4"/>
    <x v="2"/>
    <s v="Nevada"/>
    <x v="0"/>
    <s v="Laptops"/>
    <s v="Laptops"/>
    <s v="Tom Kowalski"/>
    <n v="13"/>
    <n v="623.25"/>
    <n v="8102.25"/>
    <n v="6889.65"/>
    <n v="1212.5999999999999"/>
    <n v="7755.25"/>
  </r>
  <r>
    <s v="ORD-1063"/>
    <s v="2024-08-18"/>
    <x v="11"/>
    <s v="Q3"/>
    <x v="1"/>
    <s v="Massachusetts"/>
    <x v="2"/>
    <s v="Bookcase"/>
    <s v="Bookcase"/>
    <s v="James Liu"/>
    <n v="15"/>
    <n v="189.22"/>
    <n v="2838.3"/>
    <n v="1758.76"/>
    <n v="1079.54"/>
    <n v="2662.3"/>
  </r>
  <r>
    <s v="ORD-1064"/>
    <s v="2024-12-07"/>
    <x v="4"/>
    <s v="Q4"/>
    <x v="1"/>
    <s v="New York"/>
    <x v="2"/>
    <s v="Chair"/>
    <s v="Chair"/>
    <s v="Aisha Brown"/>
    <n v="16"/>
    <n v="290.88"/>
    <n v="4654.08"/>
    <n v="2972.06"/>
    <n v="1682.02"/>
    <n v="4916.3599999999997"/>
  </r>
  <r>
    <s v="ORD-1065"/>
    <s v="2024-02-27"/>
    <x v="3"/>
    <s v="Q1"/>
    <x v="3"/>
    <s v="Georgia"/>
    <x v="0"/>
    <s v="Keyboards"/>
    <s v="Keyboards"/>
    <s v="Maria Santos"/>
    <n v="1"/>
    <n v="51.47"/>
    <n v="51.47"/>
    <n v="30.62"/>
    <n v="20.85"/>
    <n v="46.03"/>
  </r>
  <r>
    <s v="ORD-1066"/>
    <s v="2024-01-18"/>
    <x v="7"/>
    <s v="Q1"/>
    <x v="1"/>
    <s v="Pennsylvania"/>
    <x v="2"/>
    <s v="Cabinet"/>
    <s v="Cabinet"/>
    <s v="Derek Thompson"/>
    <n v="1"/>
    <n v="239.33"/>
    <n v="239.33"/>
    <n v="161.19"/>
    <n v="78.14"/>
    <n v="242.75"/>
  </r>
  <r>
    <s v="ORD-1067"/>
    <s v="2024-06-06"/>
    <x v="10"/>
    <s v="Q2"/>
    <x v="0"/>
    <s v="Minnesota"/>
    <x v="1"/>
    <s v="Paper"/>
    <s v="Paper"/>
    <s v="Maria Santos"/>
    <n v="13"/>
    <n v="19.16"/>
    <n v="249.08"/>
    <n v="103.91"/>
    <n v="145.16999999999999"/>
    <n v="262.02"/>
  </r>
  <r>
    <s v="ORD-1068"/>
    <s v="2024-03-05"/>
    <x v="8"/>
    <s v="Q1"/>
    <x v="1"/>
    <s v="New York"/>
    <x v="0"/>
    <s v="Laptops"/>
    <s v="Laptops"/>
    <s v="Carlos Ruiz"/>
    <n v="14"/>
    <n v="657.55"/>
    <n v="9205.7000000000007"/>
    <n v="7357.4"/>
    <n v="1848.3"/>
    <n v="10372.61"/>
  </r>
  <r>
    <s v="ORD-1069"/>
    <s v="2024-09-13"/>
    <x v="5"/>
    <s v="Q3"/>
    <x v="2"/>
    <s v="Nevada"/>
    <x v="1"/>
    <s v="Stapler"/>
    <s v="Stapler"/>
    <s v="James Liu"/>
    <n v="20"/>
    <n v="21.14"/>
    <n v="422.8"/>
    <n v="191.2"/>
    <n v="231.6"/>
    <n v="501.46"/>
  </r>
  <r>
    <s v="ORD-1070"/>
    <s v="2024-04-21"/>
    <x v="2"/>
    <s v="Q2"/>
    <x v="3"/>
    <s v="Georgia"/>
    <x v="2"/>
    <s v="Desk"/>
    <s v="Desk"/>
    <s v="Sarah Kim"/>
    <n v="6"/>
    <n v="391.19"/>
    <n v="2347.14"/>
    <n v="1688.73"/>
    <n v="658.41"/>
    <n v="2123.66"/>
  </r>
  <r>
    <s v="ORD-1071"/>
    <s v="2024-08-23"/>
    <x v="11"/>
    <s v="Q3"/>
    <x v="2"/>
    <s v="Oregon"/>
    <x v="0"/>
    <s v="Monitors"/>
    <s v="Monitors"/>
    <s v="Carlos Ruiz"/>
    <n v="10"/>
    <n v="268.13"/>
    <n v="2681.3"/>
    <n v="2040.6"/>
    <n v="640.70000000000005"/>
    <n v="2705.19"/>
  </r>
  <r>
    <s v="ORD-1072"/>
    <s v="2024-05-26"/>
    <x v="9"/>
    <s v="Q2"/>
    <x v="3"/>
    <s v="Louisiana"/>
    <x v="0"/>
    <s v="Monitors"/>
    <s v="Monitors"/>
    <s v="Priya Nair"/>
    <n v="9"/>
    <n v="288.27"/>
    <n v="2594.4299999999998"/>
    <n v="1858.79"/>
    <n v="735.64"/>
    <n v="2270.11"/>
  </r>
  <r>
    <s v="ORD-1073"/>
    <s v="2024-05-20"/>
    <x v="9"/>
    <s v="Q2"/>
    <x v="1"/>
    <s v="Massachusetts"/>
    <x v="0"/>
    <s v="Headphones"/>
    <s v="Headphones"/>
    <s v="Derek Thompson"/>
    <n v="13"/>
    <n v="98.58"/>
    <n v="1281.54"/>
    <n v="814.53"/>
    <n v="467.01"/>
    <n v="1313.79"/>
  </r>
  <r>
    <s v="ORD-1074"/>
    <s v="2024-08-03"/>
    <x v="11"/>
    <s v="Q3"/>
    <x v="0"/>
    <s v="Michigan"/>
    <x v="2"/>
    <s v="Bookcase"/>
    <s v="Bookcase"/>
    <s v="Maria Santos"/>
    <n v="1"/>
    <n v="199.04"/>
    <n v="199.04"/>
    <n v="115.1"/>
    <n v="83.94"/>
    <n v="236.19"/>
  </r>
  <r>
    <s v="ORD-1075"/>
    <s v="2024-11-27"/>
    <x v="0"/>
    <s v="Q4"/>
    <x v="1"/>
    <s v="New York"/>
    <x v="0"/>
    <s v="Headphones"/>
    <s v="Headphones"/>
    <s v="Sarah Kim"/>
    <n v="15"/>
    <n v="95.36"/>
    <n v="1430.4"/>
    <n v="937.45"/>
    <n v="492.95"/>
    <n v="1306.7"/>
  </r>
  <r>
    <s v="ORD-1076"/>
    <s v="2024-11-27"/>
    <x v="0"/>
    <s v="Q4"/>
    <x v="2"/>
    <s v="California"/>
    <x v="1"/>
    <s v="Folders"/>
    <s v="Folders"/>
    <s v="Tom Kowalski"/>
    <n v="11"/>
    <n v="8.84"/>
    <n v="97.24"/>
    <n v="33.56"/>
    <n v="63.68"/>
    <n v="111.85"/>
  </r>
  <r>
    <s v="ORD-1077"/>
    <s v="2024-07-23"/>
    <x v="6"/>
    <s v="Q3"/>
    <x v="2"/>
    <s v="Oregon"/>
    <x v="2"/>
    <s v="Cabinet"/>
    <s v="Cabinet"/>
    <s v="Aisha Brown"/>
    <n v="18"/>
    <n v="276.31"/>
    <n v="4973.58"/>
    <n v="2746.57"/>
    <n v="2227.0100000000002"/>
    <n v="4380.83"/>
  </r>
  <r>
    <s v="ORD-1078"/>
    <s v="2024-06-04"/>
    <x v="10"/>
    <s v="Q2"/>
    <x v="2"/>
    <s v="California"/>
    <x v="2"/>
    <s v="Cabinet"/>
    <s v="Cabinet"/>
    <s v="Derek Thompson"/>
    <n v="7"/>
    <n v="255.49"/>
    <n v="1788.43"/>
    <n v="1122.07"/>
    <n v="666.36"/>
    <n v="1909.9"/>
  </r>
  <r>
    <s v="ORD-1079"/>
    <s v="2024-11-15"/>
    <x v="0"/>
    <s v="Q4"/>
    <x v="0"/>
    <s v="Wisconsin"/>
    <x v="1"/>
    <s v="Pens"/>
    <s v="Pens"/>
    <s v="Maria Santos"/>
    <n v="15"/>
    <n v="13.03"/>
    <n v="195.45"/>
    <n v="62.29"/>
    <n v="133.16"/>
    <n v="199.29"/>
  </r>
  <r>
    <s v="ORD-1080"/>
    <s v="2024-11-20"/>
    <x v="0"/>
    <s v="Q4"/>
    <x v="3"/>
    <s v="Florida"/>
    <x v="1"/>
    <s v="Paper"/>
    <s v="Paper"/>
    <s v="James Liu"/>
    <n v="3"/>
    <n v="18.190000000000001"/>
    <n v="54.57"/>
    <n v="23.34"/>
    <n v="31.23"/>
    <n v="62.45"/>
  </r>
  <r>
    <s v="ORD-1081"/>
    <s v="2024-08-04"/>
    <x v="11"/>
    <s v="Q3"/>
    <x v="3"/>
    <s v="Louisiana"/>
    <x v="2"/>
    <s v="Bookcase"/>
    <s v="Bookcase"/>
    <s v="Derek Thompson"/>
    <n v="9"/>
    <n v="195.35"/>
    <n v="1758.15"/>
    <n v="1070.8699999999999"/>
    <n v="687.28"/>
    <n v="1791.33"/>
  </r>
  <r>
    <s v="ORD-1082"/>
    <s v="2024-04-15"/>
    <x v="2"/>
    <s v="Q2"/>
    <x v="3"/>
    <s v="Louisiana"/>
    <x v="0"/>
    <s v="Monitors"/>
    <s v="Monitors"/>
    <s v="Tom Kowalski"/>
    <n v="9"/>
    <n v="300.39"/>
    <n v="2703.51"/>
    <n v="1849.08"/>
    <n v="854.43"/>
    <n v="3106.45"/>
  </r>
  <r>
    <s v="ORD-1083"/>
    <s v="2024-09-09"/>
    <x v="5"/>
    <s v="Q3"/>
    <x v="0"/>
    <s v="Minnesota"/>
    <x v="2"/>
    <s v="Bookcase"/>
    <s v="Bookcase"/>
    <s v="Priya Nair"/>
    <n v="19"/>
    <n v="208.16"/>
    <n v="3955.04"/>
    <n v="2393.75"/>
    <n v="1561.29"/>
    <n v="4039.58"/>
  </r>
  <r>
    <s v="ORD-1084"/>
    <s v="2024-08-18"/>
    <x v="11"/>
    <s v="Q3"/>
    <x v="2"/>
    <s v="Oregon"/>
    <x v="1"/>
    <s v="Stapler"/>
    <s v="Stapler"/>
    <s v="Carlos Ruiz"/>
    <n v="11"/>
    <n v="21.8"/>
    <n v="239.8"/>
    <n v="114.07"/>
    <n v="125.73"/>
    <n v="286.14999999999998"/>
  </r>
  <r>
    <s v="ORD-1085"/>
    <s v="2024-10-13"/>
    <x v="1"/>
    <s v="Q4"/>
    <x v="3"/>
    <s v="Louisiana"/>
    <x v="0"/>
    <s v="Keyboards"/>
    <s v="Keyboards"/>
    <s v="Priya Nair"/>
    <n v="13"/>
    <n v="57.69"/>
    <n v="749.97"/>
    <n v="385.56"/>
    <n v="364.41"/>
    <n v="811.69"/>
  </r>
  <r>
    <s v="ORD-1086"/>
    <s v="2024-08-02"/>
    <x v="11"/>
    <s v="Q3"/>
    <x v="3"/>
    <s v="Georgia"/>
    <x v="0"/>
    <s v="Headphones"/>
    <s v="Headphones"/>
    <s v="Priya Nair"/>
    <n v="15"/>
    <n v="87.39"/>
    <n v="1310.85"/>
    <n v="856.38"/>
    <n v="454.47"/>
    <n v="1180.3599999999999"/>
  </r>
  <r>
    <s v="ORD-1087"/>
    <s v="2024-02-16"/>
    <x v="3"/>
    <s v="Q1"/>
    <x v="1"/>
    <s v="New Jersey"/>
    <x v="2"/>
    <s v="Cabinet"/>
    <s v="Cabinet"/>
    <s v="Sarah Kim"/>
    <n v="11"/>
    <n v="267.79000000000002"/>
    <n v="2945.69"/>
    <n v="1822.01"/>
    <n v="1123.68"/>
    <n v="3389.81"/>
  </r>
  <r>
    <s v="ORD-1088"/>
    <s v="2024-06-21"/>
    <x v="10"/>
    <s v="Q2"/>
    <x v="2"/>
    <s v="California"/>
    <x v="2"/>
    <s v="Desk"/>
    <s v="Desk"/>
    <s v="Sarah Kim"/>
    <n v="10"/>
    <n v="397.72"/>
    <n v="3977.2"/>
    <n v="2939.28"/>
    <n v="1037.92"/>
    <n v="4420.13"/>
  </r>
  <r>
    <s v="ORD-1089"/>
    <s v="2024-02-25"/>
    <x v="3"/>
    <s v="Q1"/>
    <x v="0"/>
    <s v="Michigan"/>
    <x v="0"/>
    <s v="Keyboards"/>
    <s v="Keyboards"/>
    <s v="Tom Kowalski"/>
    <n v="2"/>
    <n v="59.44"/>
    <n v="118.88"/>
    <n v="58.95"/>
    <n v="59.93"/>
    <n v="103.38"/>
  </r>
  <r>
    <s v="ORD-1090"/>
    <s v="2024-06-14"/>
    <x v="10"/>
    <s v="Q2"/>
    <x v="3"/>
    <s v="Florida"/>
    <x v="2"/>
    <s v="Cabinet"/>
    <s v="Cabinet"/>
    <s v="Sarah Kim"/>
    <n v="6"/>
    <n v="263.43"/>
    <n v="1580.58"/>
    <n v="928.32"/>
    <n v="652.26"/>
    <n v="1387.18"/>
  </r>
  <r>
    <s v="ORD-1091"/>
    <s v="2024-10-22"/>
    <x v="1"/>
    <s v="Q4"/>
    <x v="3"/>
    <s v="Louisiana"/>
    <x v="2"/>
    <s v="Chair"/>
    <s v="Chair"/>
    <s v="Derek Thompson"/>
    <n v="9"/>
    <n v="293.39999999999998"/>
    <n v="2640.6"/>
    <n v="1703.09"/>
    <n v="937.51"/>
    <n v="2860.81"/>
  </r>
  <r>
    <s v="ORD-1092"/>
    <s v="2024-05-22"/>
    <x v="9"/>
    <s v="Q2"/>
    <x v="3"/>
    <s v="Texas"/>
    <x v="1"/>
    <s v="Folders"/>
    <s v="Folders"/>
    <s v="Aisha Brown"/>
    <n v="10"/>
    <n v="9.8800000000000008"/>
    <n v="98.8"/>
    <n v="30.42"/>
    <n v="68.38"/>
    <n v="98.65"/>
  </r>
  <r>
    <s v="ORD-1093"/>
    <s v="2024-08-28"/>
    <x v="11"/>
    <s v="Q3"/>
    <x v="1"/>
    <s v="Pennsylvania"/>
    <x v="1"/>
    <s v="Stapler"/>
    <s v="Stapler"/>
    <s v="Aisha Brown"/>
    <n v="13"/>
    <n v="20.27"/>
    <n v="263.51"/>
    <n v="130.93"/>
    <n v="132.58000000000001"/>
    <n v="277"/>
  </r>
  <r>
    <s v="ORD-1094"/>
    <s v="2024-01-27"/>
    <x v="7"/>
    <s v="Q1"/>
    <x v="2"/>
    <s v="Oregon"/>
    <x v="0"/>
    <s v="Laptops"/>
    <s v="Laptops"/>
    <s v="Carlos Ruiz"/>
    <n v="16"/>
    <n v="703.38"/>
    <n v="11254.08"/>
    <n v="8596.92"/>
    <n v="2657.16"/>
    <n v="13122.56"/>
  </r>
  <r>
    <s v="ORD-1095"/>
    <s v="2024-10-26"/>
    <x v="1"/>
    <s v="Q4"/>
    <x v="1"/>
    <s v="Pennsylvania"/>
    <x v="2"/>
    <s v="Chair"/>
    <s v="Chair"/>
    <s v="Maria Santos"/>
    <n v="5"/>
    <n v="317.5"/>
    <n v="1587.5"/>
    <n v="962.18"/>
    <n v="625.32000000000005"/>
    <n v="1851.33"/>
  </r>
  <r>
    <s v="ORD-1096"/>
    <s v="2024-05-26"/>
    <x v="9"/>
    <s v="Q2"/>
    <x v="2"/>
    <s v="California"/>
    <x v="2"/>
    <s v="Bookcase"/>
    <s v="Bookcase"/>
    <s v="Sarah Kim"/>
    <n v="3"/>
    <n v="204.06"/>
    <n v="612.17999999999995"/>
    <n v="374.75"/>
    <n v="237.43"/>
    <n v="590.36"/>
  </r>
  <r>
    <s v="ORD-1097"/>
    <s v="2024-03-07"/>
    <x v="8"/>
    <s v="Q1"/>
    <x v="3"/>
    <s v="Georgia"/>
    <x v="2"/>
    <s v="Bookcase"/>
    <s v="Bookcase"/>
    <s v="Aisha Brown"/>
    <n v="9"/>
    <n v="207.89"/>
    <n v="1871.01"/>
    <n v="1124.72"/>
    <n v="746.29"/>
    <n v="2208.66"/>
  </r>
  <r>
    <s v="ORD-1098"/>
    <s v="2024-12-28"/>
    <x v="4"/>
    <s v="Q4"/>
    <x v="1"/>
    <s v="New York"/>
    <x v="1"/>
    <s v="Paper"/>
    <s v="Paper"/>
    <s v="Sarah Kim"/>
    <n v="8"/>
    <n v="16.71"/>
    <n v="133.68"/>
    <n v="66.3"/>
    <n v="67.38"/>
    <n v="147.51"/>
  </r>
  <r>
    <s v="ORD-1099"/>
    <s v="2024-09-12"/>
    <x v="5"/>
    <s v="Q3"/>
    <x v="0"/>
    <s v="Michigan"/>
    <x v="0"/>
    <s v="Keyboards"/>
    <s v="Keyboards"/>
    <s v="Aisha Brown"/>
    <n v="15"/>
    <n v="55.4"/>
    <n v="831"/>
    <n v="444.09"/>
    <n v="386.91"/>
    <n v="924.2"/>
  </r>
  <r>
    <s v="ORD-1100"/>
    <s v="2024-10-13"/>
    <x v="1"/>
    <s v="Q4"/>
    <x v="1"/>
    <s v="New York"/>
    <x v="2"/>
    <s v="Chair"/>
    <s v="Chair"/>
    <s v="Carlos Ruiz"/>
    <n v="20"/>
    <n v="308.23"/>
    <n v="6164.6"/>
    <n v="3946.01"/>
    <n v="2218.59"/>
    <n v="6451.21"/>
  </r>
  <r>
    <s v="ORD-1101"/>
    <s v="2024-11-03"/>
    <x v="0"/>
    <s v="Q4"/>
    <x v="2"/>
    <s v="Oregon"/>
    <x v="2"/>
    <s v="Cabinet"/>
    <s v="Cabinet"/>
    <s v="Derek Thompson"/>
    <n v="2"/>
    <n v="240.07"/>
    <n v="480.14"/>
    <n v="334.28"/>
    <n v="145.86000000000001"/>
    <n v="459.27"/>
  </r>
  <r>
    <s v="ORD-1102"/>
    <s v="2024-02-04"/>
    <x v="3"/>
    <s v="Q1"/>
    <x v="3"/>
    <s v="Florida"/>
    <x v="1"/>
    <s v="Stapler"/>
    <s v="Stapler"/>
    <s v="Priya Nair"/>
    <n v="18"/>
    <n v="21.43"/>
    <n v="385.74"/>
    <n v="178.54"/>
    <n v="207.2"/>
    <n v="428.09"/>
  </r>
  <r>
    <s v="ORD-1103"/>
    <s v="2024-07-21"/>
    <x v="6"/>
    <s v="Q3"/>
    <x v="0"/>
    <s v="Michigan"/>
    <x v="2"/>
    <s v="Cabinet"/>
    <s v="Cabinet"/>
    <s v="Derek Thompson"/>
    <n v="9"/>
    <n v="282.83"/>
    <n v="2545.4699999999998"/>
    <n v="1372.71"/>
    <n v="1172.76"/>
    <n v="2493.7600000000002"/>
  </r>
  <r>
    <s v="ORD-1104"/>
    <s v="2024-08-08"/>
    <x v="11"/>
    <s v="Q3"/>
    <x v="1"/>
    <s v="New York"/>
    <x v="2"/>
    <s v="Bookcase"/>
    <s v="Bookcase"/>
    <s v="James Liu"/>
    <n v="12"/>
    <n v="196.73"/>
    <n v="2360.7600000000002"/>
    <n v="1376.72"/>
    <n v="984.04"/>
    <n v="2234.6"/>
  </r>
  <r>
    <s v="ORD-1105"/>
    <s v="2024-08-03"/>
    <x v="11"/>
    <s v="Q3"/>
    <x v="3"/>
    <s v="Texas"/>
    <x v="0"/>
    <s v="Keyboards"/>
    <s v="Keyboards"/>
    <s v="Carlos Ruiz"/>
    <n v="5"/>
    <n v="52.18"/>
    <n v="260.89999999999998"/>
    <n v="154.30000000000001"/>
    <n v="106.6"/>
    <n v="240.5"/>
  </r>
  <r>
    <s v="ORD-1106"/>
    <s v="2024-10-07"/>
    <x v="1"/>
    <s v="Q4"/>
    <x v="3"/>
    <s v="Georgia"/>
    <x v="0"/>
    <s v="Laptops"/>
    <s v="Laptops"/>
    <s v="Priya Nair"/>
    <n v="5"/>
    <n v="621.04999999999995"/>
    <n v="3105.25"/>
    <n v="2726.76"/>
    <n v="378.49"/>
    <n v="3226.59"/>
  </r>
  <r>
    <s v="ORD-1107"/>
    <s v="2024-02-22"/>
    <x v="3"/>
    <s v="Q1"/>
    <x v="0"/>
    <s v="Wisconsin"/>
    <x v="0"/>
    <s v="Keyboards"/>
    <s v="Keyboards"/>
    <s v="Aisha Brown"/>
    <n v="8"/>
    <n v="58.19"/>
    <n v="465.52"/>
    <n v="242.13"/>
    <n v="223.39"/>
    <n v="398.26"/>
  </r>
  <r>
    <s v="ORD-1108"/>
    <s v="2024-01-05"/>
    <x v="7"/>
    <s v="Q1"/>
    <x v="2"/>
    <s v="California"/>
    <x v="2"/>
    <s v="Desk"/>
    <s v="Desk"/>
    <s v="Carlos Ruiz"/>
    <n v="12"/>
    <n v="418"/>
    <n v="5016"/>
    <n v="3364.45"/>
    <n v="1651.55"/>
    <n v="4455.0600000000004"/>
  </r>
  <r>
    <s v="ORD-1109"/>
    <s v="2024-10-02"/>
    <x v="1"/>
    <s v="Q4"/>
    <x v="1"/>
    <s v="Massachusetts"/>
    <x v="2"/>
    <s v="Desk"/>
    <s v="Desk"/>
    <s v="James Liu"/>
    <n v="16"/>
    <n v="383.11"/>
    <n v="6129.76"/>
    <n v="4635.59"/>
    <n v="1494.17"/>
    <n v="6124.83"/>
  </r>
  <r>
    <s v="ORD-1110"/>
    <s v="2024-08-23"/>
    <x v="11"/>
    <s v="Q3"/>
    <x v="2"/>
    <s v="California"/>
    <x v="0"/>
    <s v="Keyboards"/>
    <s v="Keyboards"/>
    <s v="Tom Kowalski"/>
    <n v="3"/>
    <n v="56.19"/>
    <n v="168.57"/>
    <n v="86.64"/>
    <n v="81.93"/>
    <n v="180.12"/>
  </r>
  <r>
    <s v="ORD-1111"/>
    <s v="2024-07-20"/>
    <x v="6"/>
    <s v="Q3"/>
    <x v="1"/>
    <s v="Massachusetts"/>
    <x v="2"/>
    <s v="Cabinet"/>
    <s v="Cabinet"/>
    <s v="Carlos Ruiz"/>
    <n v="4"/>
    <n v="239.16"/>
    <n v="956.64"/>
    <n v="662.58"/>
    <n v="294.06"/>
    <n v="1031.0899999999999"/>
  </r>
  <r>
    <s v="ORD-1112"/>
    <s v="2024-07-15"/>
    <x v="6"/>
    <s v="Q3"/>
    <x v="3"/>
    <s v="Louisiana"/>
    <x v="1"/>
    <s v="Stapler"/>
    <s v="Stapler"/>
    <s v="Aisha Brown"/>
    <n v="4"/>
    <n v="21.55"/>
    <n v="86.2"/>
    <n v="39.25"/>
    <n v="46.95"/>
    <n v="82.7"/>
  </r>
  <r>
    <s v="ORD-1113"/>
    <s v="2024-06-05"/>
    <x v="10"/>
    <s v="Q2"/>
    <x v="2"/>
    <s v="California"/>
    <x v="0"/>
    <s v="Laptops"/>
    <s v="Laptops"/>
    <s v="Priya Nair"/>
    <n v="4"/>
    <n v="597.12"/>
    <n v="2388.48"/>
    <n v="2130.87"/>
    <n v="257.61"/>
    <n v="2341.73"/>
  </r>
  <r>
    <s v="ORD-1114"/>
    <s v="2024-09-02"/>
    <x v="5"/>
    <s v="Q3"/>
    <x v="1"/>
    <s v="New York"/>
    <x v="1"/>
    <s v="Folders"/>
    <s v="Folders"/>
    <s v="Aisha Brown"/>
    <n v="14"/>
    <n v="9.67"/>
    <n v="135.38"/>
    <n v="43.55"/>
    <n v="91.83"/>
    <n v="149.24"/>
  </r>
  <r>
    <s v="ORD-1115"/>
    <s v="2024-10-10"/>
    <x v="1"/>
    <s v="Q4"/>
    <x v="1"/>
    <s v="New York"/>
    <x v="2"/>
    <s v="Chair"/>
    <s v="Chair"/>
    <s v="Tom Kowalski"/>
    <n v="16"/>
    <n v="288.58999999999997"/>
    <n v="4617.4399999999996"/>
    <n v="2956.17"/>
    <n v="1661.27"/>
    <n v="4099.72"/>
  </r>
  <r>
    <s v="ORD-1116"/>
    <s v="2024-02-25"/>
    <x v="3"/>
    <s v="Q1"/>
    <x v="1"/>
    <s v="Pennsylvania"/>
    <x v="1"/>
    <s v="Paper"/>
    <s v="Paper"/>
    <s v="Aisha Brown"/>
    <n v="9"/>
    <n v="18.39"/>
    <n v="165.51"/>
    <n v="68.61"/>
    <n v="96.9"/>
    <n v="156.51"/>
  </r>
  <r>
    <s v="ORD-1117"/>
    <s v="2024-06-12"/>
    <x v="10"/>
    <s v="Q2"/>
    <x v="0"/>
    <s v="Wisconsin"/>
    <x v="0"/>
    <s v="Headphones"/>
    <s v="Headphones"/>
    <s v="Sarah Kim"/>
    <n v="1"/>
    <n v="86.82"/>
    <n v="86.82"/>
    <n v="57.55"/>
    <n v="29.27"/>
    <n v="89.92"/>
  </r>
  <r>
    <s v="ORD-1118"/>
    <s v="2024-07-15"/>
    <x v="6"/>
    <s v="Q3"/>
    <x v="1"/>
    <s v="Pennsylvania"/>
    <x v="1"/>
    <s v="Folders"/>
    <s v="Folders"/>
    <s v="Priya Nair"/>
    <n v="19"/>
    <n v="9.4"/>
    <n v="178.6"/>
    <n v="57.55"/>
    <n v="121.05"/>
    <n v="207.03"/>
  </r>
  <r>
    <s v="ORD-1119"/>
    <s v="2024-03-25"/>
    <x v="8"/>
    <s v="Q1"/>
    <x v="0"/>
    <s v="Illinois"/>
    <x v="1"/>
    <s v="Stapler"/>
    <s v="Stapler"/>
    <s v="Carlos Ruiz"/>
    <n v="16"/>
    <n v="22.71"/>
    <n v="363.36"/>
    <n v="161.71"/>
    <n v="201.65"/>
    <n v="361.53"/>
  </r>
  <r>
    <s v="ORD-1120"/>
    <s v="2024-09-04"/>
    <x v="5"/>
    <s v="Q3"/>
    <x v="1"/>
    <s v="Massachusetts"/>
    <x v="0"/>
    <s v="Keyboards"/>
    <s v="Keyboards"/>
    <s v="Maria Santos"/>
    <n v="19"/>
    <n v="56.96"/>
    <n v="1082.24"/>
    <n v="569.24"/>
    <n v="513"/>
    <n v="1172.5999999999999"/>
  </r>
  <r>
    <s v="ORD-1121"/>
    <s v="2024-04-13"/>
    <x v="2"/>
    <s v="Q2"/>
    <x v="0"/>
    <s v="Illinois"/>
    <x v="0"/>
    <s v="Keyboards"/>
    <s v="Keyboards"/>
    <s v="James Liu"/>
    <n v="5"/>
    <n v="59.9"/>
    <n v="299.5"/>
    <n v="153.96"/>
    <n v="145.54"/>
    <n v="284.92"/>
  </r>
  <r>
    <s v="ORD-1122"/>
    <s v="2024-01-16"/>
    <x v="7"/>
    <s v="Q1"/>
    <x v="2"/>
    <s v="Washington"/>
    <x v="0"/>
    <s v="Headphones"/>
    <s v="Headphones"/>
    <s v="Tom Kowalski"/>
    <n v="8"/>
    <n v="95.62"/>
    <n v="764.96"/>
    <n v="480.01"/>
    <n v="284.95"/>
    <n v="873.33"/>
  </r>
  <r>
    <s v="ORD-1123"/>
    <s v="2024-02-13"/>
    <x v="3"/>
    <s v="Q1"/>
    <x v="0"/>
    <s v="Michigan"/>
    <x v="0"/>
    <s v="Headphones"/>
    <s v="Headphones"/>
    <s v="Sarah Kim"/>
    <n v="11"/>
    <n v="103"/>
    <n v="1133"/>
    <n v="665"/>
    <n v="468"/>
    <n v="1190.43"/>
  </r>
  <r>
    <s v="ORD-1124"/>
    <s v="2024-05-04"/>
    <x v="9"/>
    <s v="Q2"/>
    <x v="2"/>
    <s v="California"/>
    <x v="1"/>
    <s v="Pens"/>
    <s v="Pens"/>
    <s v="Tom Kowalski"/>
    <n v="20"/>
    <n v="12.72"/>
    <n v="254.4"/>
    <n v="79.680000000000007"/>
    <n v="174.72"/>
    <n v="277.64"/>
  </r>
  <r>
    <s v="ORD-1125"/>
    <s v="2024-02-14"/>
    <x v="3"/>
    <s v="Q1"/>
    <x v="0"/>
    <s v="Wisconsin"/>
    <x v="1"/>
    <s v="Stapler"/>
    <s v="Stapler"/>
    <s v="Carlos Ruiz"/>
    <n v="13"/>
    <n v="22.11"/>
    <n v="287.43"/>
    <n v="134.82"/>
    <n v="152.61000000000001"/>
    <n v="319.33999999999997"/>
  </r>
  <r>
    <s v="ORD-1126"/>
    <s v="2024-06-25"/>
    <x v="10"/>
    <s v="Q2"/>
    <x v="3"/>
    <s v="Texas"/>
    <x v="2"/>
    <s v="Desk"/>
    <s v="Desk"/>
    <s v="Priya Nair"/>
    <n v="7"/>
    <n v="422.57"/>
    <n v="2957.99"/>
    <n v="2039.56"/>
    <n v="918.43"/>
    <n v="2876"/>
  </r>
  <r>
    <s v="ORD-1127"/>
    <s v="2024-04-04"/>
    <x v="2"/>
    <s v="Q2"/>
    <x v="3"/>
    <s v="Georgia"/>
    <x v="0"/>
    <s v="Monitors"/>
    <s v="Monitors"/>
    <s v="Derek Thompson"/>
    <n v="3"/>
    <n v="285.73"/>
    <n v="857.19"/>
    <n v="580.63"/>
    <n v="276.56"/>
    <n v="960.48"/>
  </r>
  <r>
    <s v="ORD-1128"/>
    <s v="2024-08-25"/>
    <x v="11"/>
    <s v="Q3"/>
    <x v="2"/>
    <s v="Oregon"/>
    <x v="2"/>
    <s v="Bookcase"/>
    <s v="Bookcase"/>
    <s v="Aisha Brown"/>
    <n v="3"/>
    <n v="181.39"/>
    <n v="544.16999999999996"/>
    <n v="358.88"/>
    <n v="185.29"/>
    <n v="582.79999999999995"/>
  </r>
  <r>
    <s v="ORD-1129"/>
    <s v="2024-10-02"/>
    <x v="1"/>
    <s v="Q4"/>
    <x v="1"/>
    <s v="New York"/>
    <x v="1"/>
    <s v="Stapler"/>
    <s v="Stapler"/>
    <s v="James Liu"/>
    <n v="2"/>
    <n v="21.79"/>
    <n v="43.58"/>
    <n v="19.739999999999998"/>
    <n v="23.84"/>
    <n v="41.42"/>
  </r>
  <r>
    <s v="ORD-1130"/>
    <s v="2024-10-20"/>
    <x v="1"/>
    <s v="Q4"/>
    <x v="2"/>
    <s v="Nevada"/>
    <x v="2"/>
    <s v="Desk"/>
    <s v="Desk"/>
    <s v="Derek Thompson"/>
    <n v="19"/>
    <n v="415.78"/>
    <n v="7899.82"/>
    <n v="5400.78"/>
    <n v="2499.04"/>
    <n v="7603.85"/>
  </r>
  <r>
    <s v="ORD-1131"/>
    <s v="2024-09-05"/>
    <x v="5"/>
    <s v="Q3"/>
    <x v="0"/>
    <s v="Michigan"/>
    <x v="0"/>
    <s v="Keyboards"/>
    <s v="Keyboards"/>
    <s v="Carlos Ruiz"/>
    <n v="3"/>
    <n v="60.31"/>
    <n v="180.93"/>
    <n v="90.04"/>
    <n v="90.89"/>
    <n v="164.72"/>
  </r>
  <r>
    <s v="ORD-1132"/>
    <s v="2024-12-15"/>
    <x v="4"/>
    <s v="Q4"/>
    <x v="2"/>
    <s v="Washington"/>
    <x v="1"/>
    <s v="Folders"/>
    <s v="Folders"/>
    <s v="Maria Santos"/>
    <n v="13"/>
    <n v="9.75"/>
    <n v="126.75"/>
    <n v="38.64"/>
    <n v="88.11"/>
    <n v="122.75"/>
  </r>
  <r>
    <s v="ORD-1133"/>
    <s v="2024-11-21"/>
    <x v="0"/>
    <s v="Q4"/>
    <x v="1"/>
    <s v="New York"/>
    <x v="1"/>
    <s v="Paper"/>
    <s v="Paper"/>
    <s v="Priya Nair"/>
    <n v="13"/>
    <n v="18.21"/>
    <n v="236.73"/>
    <n v="101.76"/>
    <n v="134.97"/>
    <n v="261.19"/>
  </r>
  <r>
    <s v="ORD-1134"/>
    <s v="2024-06-03"/>
    <x v="10"/>
    <s v="Q2"/>
    <x v="3"/>
    <s v="Georgia"/>
    <x v="1"/>
    <s v="Stapler"/>
    <s v="Stapler"/>
    <s v="Tom Kowalski"/>
    <n v="3"/>
    <n v="20.37"/>
    <n v="61.11"/>
    <n v="29.43"/>
    <n v="31.68"/>
    <n v="60"/>
  </r>
  <r>
    <s v="ORD-1135"/>
    <s v="2024-03-22"/>
    <x v="8"/>
    <s v="Q1"/>
    <x v="0"/>
    <s v="Michigan"/>
    <x v="2"/>
    <s v="Bookcase"/>
    <s v="Bookcase"/>
    <s v="Derek Thompson"/>
    <n v="10"/>
    <n v="176.21"/>
    <n v="1762.1"/>
    <n v="1161.6300000000001"/>
    <n v="600.47"/>
    <n v="1629.89"/>
  </r>
  <r>
    <s v="ORD-1136"/>
    <s v="2024-04-08"/>
    <x v="2"/>
    <s v="Q2"/>
    <x v="3"/>
    <s v="Florida"/>
    <x v="0"/>
    <s v="Keyboards"/>
    <s v="Keyboards"/>
    <s v="Maria Santos"/>
    <n v="4"/>
    <n v="58.79"/>
    <n v="235.16"/>
    <n v="120.09"/>
    <n v="115.07"/>
    <n v="244.31"/>
  </r>
  <r>
    <s v="ORD-1137"/>
    <s v="2024-11-11"/>
    <x v="0"/>
    <s v="Q4"/>
    <x v="3"/>
    <s v="Louisiana"/>
    <x v="0"/>
    <s v="Monitors"/>
    <s v="Monitors"/>
    <s v="Derek Thompson"/>
    <n v="20"/>
    <n v="262.13"/>
    <n v="5242.6000000000004"/>
    <n v="4123.62"/>
    <n v="1118.98"/>
    <n v="4759.96"/>
  </r>
  <r>
    <s v="ORD-1138"/>
    <s v="2024-01-14"/>
    <x v="7"/>
    <s v="Q1"/>
    <x v="1"/>
    <s v="Pennsylvania"/>
    <x v="1"/>
    <s v="Folders"/>
    <s v="Folders"/>
    <s v="Derek Thompson"/>
    <n v="15"/>
    <n v="9.4499999999999993"/>
    <n v="141.75"/>
    <n v="43.8"/>
    <n v="97.95"/>
    <n v="132.35"/>
  </r>
  <r>
    <s v="ORD-1139"/>
    <s v="2024-04-12"/>
    <x v="2"/>
    <s v="Q2"/>
    <x v="2"/>
    <s v="Nevada"/>
    <x v="1"/>
    <s v="Stapler"/>
    <s v="Stapler"/>
    <s v="Priya Nair"/>
    <n v="14"/>
    <n v="22.01"/>
    <n v="308.14"/>
    <n v="146.53"/>
    <n v="161.61000000000001"/>
    <n v="350.02"/>
  </r>
  <r>
    <s v="ORD-1140"/>
    <s v="2024-05-02"/>
    <x v="9"/>
    <s v="Q2"/>
    <x v="2"/>
    <s v="Oregon"/>
    <x v="2"/>
    <s v="Desk"/>
    <s v="Desk"/>
    <s v="Priya Nair"/>
    <n v="17"/>
    <n v="437.76"/>
    <n v="7441.92"/>
    <n v="4927.16"/>
    <n v="2514.7600000000002"/>
    <n v="7068.13"/>
  </r>
  <r>
    <s v="ORD-1141"/>
    <s v="2024-05-15"/>
    <x v="9"/>
    <s v="Q2"/>
    <x v="3"/>
    <s v="Louisiana"/>
    <x v="0"/>
    <s v="Monitors"/>
    <s v="Monitors"/>
    <s v="Sarah Kim"/>
    <n v="12"/>
    <n v="297.74"/>
    <n v="3572.88"/>
    <n v="2503.31"/>
    <n v="1069.57"/>
    <n v="3555.78"/>
  </r>
  <r>
    <s v="ORD-1142"/>
    <s v="2024-09-12"/>
    <x v="5"/>
    <s v="Q3"/>
    <x v="3"/>
    <s v="Louisiana"/>
    <x v="0"/>
    <s v="Keyboards"/>
    <s v="Keyboards"/>
    <s v="Tom Kowalski"/>
    <n v="11"/>
    <n v="51.97"/>
    <n v="571.66999999999996"/>
    <n v="344.22"/>
    <n v="227.45"/>
    <n v="653.83000000000004"/>
  </r>
  <r>
    <s v="ORD-1143"/>
    <s v="2024-03-05"/>
    <x v="8"/>
    <s v="Q1"/>
    <x v="0"/>
    <s v="Minnesota"/>
    <x v="1"/>
    <s v="Pens"/>
    <s v="Pens"/>
    <s v="James Liu"/>
    <n v="16"/>
    <n v="12.62"/>
    <n v="201.92"/>
    <n v="63.67"/>
    <n v="138.25"/>
    <n v="172"/>
  </r>
  <r>
    <s v="ORD-1144"/>
    <s v="2024-01-09"/>
    <x v="7"/>
    <s v="Q1"/>
    <x v="3"/>
    <s v="Florida"/>
    <x v="2"/>
    <s v="Cabinet"/>
    <s v="Cabinet"/>
    <s v="Carlos Ruiz"/>
    <n v="10"/>
    <n v="239.78"/>
    <n v="2397.8000000000002"/>
    <n v="1558.02"/>
    <n v="839.78"/>
    <n v="2140.39"/>
  </r>
  <r>
    <s v="ORD-1145"/>
    <s v="2024-07-21"/>
    <x v="6"/>
    <s v="Q3"/>
    <x v="2"/>
    <s v="California"/>
    <x v="0"/>
    <s v="Headphones"/>
    <s v="Headphones"/>
    <s v="Priya Nair"/>
    <n v="1"/>
    <n v="96.84"/>
    <n v="96.84"/>
    <n v="60.79"/>
    <n v="36.049999999999997"/>
    <n v="101.8"/>
  </r>
  <r>
    <s v="ORD-1146"/>
    <s v="2024-05-14"/>
    <x v="9"/>
    <s v="Q2"/>
    <x v="0"/>
    <s v="Minnesota"/>
    <x v="0"/>
    <s v="Headphones"/>
    <s v="Headphones"/>
    <s v="Maria Santos"/>
    <n v="3"/>
    <n v="89.06"/>
    <n v="267.18"/>
    <n v="180.42"/>
    <n v="86.76"/>
    <n v="260.82"/>
  </r>
  <r>
    <s v="ORD-1147"/>
    <s v="2024-07-28"/>
    <x v="6"/>
    <s v="Q3"/>
    <x v="2"/>
    <s v="California"/>
    <x v="2"/>
    <s v="Cabinet"/>
    <s v="Cabinet"/>
    <s v="James Liu"/>
    <n v="9"/>
    <n v="285.01"/>
    <n v="2565.09"/>
    <n v="1475.61"/>
    <n v="1089.48"/>
    <n v="2500.92"/>
  </r>
  <r>
    <s v="ORD-1148"/>
    <s v="2024-06-08"/>
    <x v="10"/>
    <s v="Q2"/>
    <x v="0"/>
    <s v="Minnesota"/>
    <x v="0"/>
    <s v="Laptops"/>
    <s v="Laptops"/>
    <s v="Derek Thompson"/>
    <n v="11"/>
    <n v="630.79999999999995"/>
    <n v="6938.8"/>
    <n v="5899.33"/>
    <n v="1039.47"/>
    <n v="6323.2"/>
  </r>
  <r>
    <s v="ORD-1149"/>
    <s v="2024-12-16"/>
    <x v="4"/>
    <s v="Q4"/>
    <x v="3"/>
    <s v="Florida"/>
    <x v="0"/>
    <s v="Headphones"/>
    <s v="Headphones"/>
    <s v="Maria Santos"/>
    <n v="7"/>
    <n v="86.2"/>
    <n v="603.4"/>
    <n v="400.84"/>
    <n v="202.56"/>
    <n v="555.02"/>
  </r>
  <r>
    <s v="ORD-1150"/>
    <s v="2024-06-10"/>
    <x v="10"/>
    <s v="Q2"/>
    <x v="2"/>
    <s v="Nevada"/>
    <x v="1"/>
    <s v="Paper"/>
    <s v="Paper"/>
    <s v="Maria Santos"/>
    <n v="7"/>
    <n v="18.91"/>
    <n v="132.37"/>
    <n v="54.8"/>
    <n v="77.569999999999993"/>
    <n v="152.46"/>
  </r>
  <r>
    <s v="ORD-1151"/>
    <s v="2024-11-11"/>
    <x v="0"/>
    <s v="Q4"/>
    <x v="1"/>
    <s v="New York"/>
    <x v="1"/>
    <s v="Stapler"/>
    <s v="Stapler"/>
    <s v="Priya Nair"/>
    <n v="15"/>
    <n v="23.71"/>
    <n v="355.65"/>
    <n v="155.91999999999999"/>
    <n v="199.73"/>
    <n v="350.43"/>
  </r>
  <r>
    <s v="ORD-1152"/>
    <s v="2024-08-23"/>
    <x v="11"/>
    <s v="Q3"/>
    <x v="2"/>
    <s v="Oregon"/>
    <x v="2"/>
    <s v="Bookcase"/>
    <s v="Bookcase"/>
    <s v="Priya Nair"/>
    <n v="14"/>
    <n v="206.74"/>
    <n v="2894.36"/>
    <n v="1609.26"/>
    <n v="1285.0999999999999"/>
    <n v="3070.51"/>
  </r>
  <r>
    <s v="ORD-1153"/>
    <s v="2024-09-10"/>
    <x v="5"/>
    <s v="Q3"/>
    <x v="1"/>
    <s v="New York"/>
    <x v="0"/>
    <s v="Keyboards"/>
    <s v="Keyboards"/>
    <s v="Priya Nair"/>
    <n v="10"/>
    <n v="56.77"/>
    <n v="567.70000000000005"/>
    <n v="298.38"/>
    <n v="269.32"/>
    <n v="625.14"/>
  </r>
  <r>
    <s v="ORD-1154"/>
    <s v="2024-12-15"/>
    <x v="4"/>
    <s v="Q4"/>
    <x v="1"/>
    <s v="Massachusetts"/>
    <x v="0"/>
    <s v="Keyboards"/>
    <s v="Keyboards"/>
    <s v="Maria Santos"/>
    <n v="14"/>
    <n v="56.26"/>
    <n v="787.64"/>
    <n v="410.53"/>
    <n v="377.11"/>
    <n v="939.66"/>
  </r>
  <r>
    <s v="ORD-1155"/>
    <s v="2024-02-22"/>
    <x v="3"/>
    <s v="Q1"/>
    <x v="2"/>
    <s v="Oregon"/>
    <x v="2"/>
    <s v="Chair"/>
    <s v="Chair"/>
    <s v="Derek Thompson"/>
    <n v="5"/>
    <n v="338.07"/>
    <n v="1690.35"/>
    <n v="983.12"/>
    <n v="707.23"/>
    <n v="1837.97"/>
  </r>
  <r>
    <s v="ORD-1156"/>
    <s v="2024-01-05"/>
    <x v="7"/>
    <s v="Q1"/>
    <x v="0"/>
    <s v="Wisconsin"/>
    <x v="2"/>
    <s v="Bookcase"/>
    <s v="Bookcase"/>
    <s v="Derek Thompson"/>
    <n v="19"/>
    <n v="189.62"/>
    <n v="3602.78"/>
    <n v="2173.38"/>
    <n v="1429.4"/>
    <n v="3255.84"/>
  </r>
  <r>
    <s v="ORD-1157"/>
    <s v="2024-06-12"/>
    <x v="10"/>
    <s v="Q2"/>
    <x v="2"/>
    <s v="California"/>
    <x v="2"/>
    <s v="Chair"/>
    <s v="Chair"/>
    <s v="James Liu"/>
    <n v="13"/>
    <n v="311.83"/>
    <n v="4053.79"/>
    <n v="2424.15"/>
    <n v="1629.64"/>
    <n v="3841.13"/>
  </r>
  <r>
    <s v="ORD-1158"/>
    <s v="2024-01-24"/>
    <x v="7"/>
    <s v="Q1"/>
    <x v="3"/>
    <s v="Louisiana"/>
    <x v="2"/>
    <s v="Cabinet"/>
    <s v="Cabinet"/>
    <s v="Derek Thompson"/>
    <n v="4"/>
    <n v="281.5"/>
    <n v="1126"/>
    <n v="624.75"/>
    <n v="501.25"/>
    <n v="1059.68"/>
  </r>
  <r>
    <s v="ORD-1159"/>
    <s v="2024-04-20"/>
    <x v="2"/>
    <s v="Q2"/>
    <x v="1"/>
    <s v="Massachusetts"/>
    <x v="0"/>
    <s v="Laptops"/>
    <s v="Laptops"/>
    <s v="Derek Thompson"/>
    <n v="3"/>
    <n v="602.64"/>
    <n v="1807.92"/>
    <n v="1552.52"/>
    <n v="255.4"/>
    <n v="2105.39"/>
  </r>
  <r>
    <s v="ORD-1160"/>
    <s v="2024-02-26"/>
    <x v="3"/>
    <s v="Q1"/>
    <x v="1"/>
    <s v="New Jersey"/>
    <x v="2"/>
    <s v="Desk"/>
    <s v="Desk"/>
    <s v="Priya Nair"/>
    <n v="10"/>
    <n v="424.2"/>
    <n v="4242"/>
    <n v="2909.57"/>
    <n v="1332.43"/>
    <n v="4869.72"/>
  </r>
  <r>
    <s v="ORD-1161"/>
    <s v="2024-06-17"/>
    <x v="10"/>
    <s v="Q2"/>
    <x v="3"/>
    <s v="Texas"/>
    <x v="0"/>
    <s v="Monitors"/>
    <s v="Monitors"/>
    <s v="Tom Kowalski"/>
    <n v="16"/>
    <n v="265.26"/>
    <n v="4244.16"/>
    <n v="3048.41"/>
    <n v="1195.75"/>
    <n v="4430.51"/>
  </r>
  <r>
    <s v="ORD-1162"/>
    <s v="2024-08-26"/>
    <x v="11"/>
    <s v="Q3"/>
    <x v="3"/>
    <s v="Texas"/>
    <x v="0"/>
    <s v="Keyboards"/>
    <s v="Keyboards"/>
    <s v="James Liu"/>
    <n v="16"/>
    <n v="53.88"/>
    <n v="862.08"/>
    <n v="481.23"/>
    <n v="380.85"/>
    <n v="964.85"/>
  </r>
  <r>
    <s v="ORD-1163"/>
    <s v="2024-03-11"/>
    <x v="8"/>
    <s v="Q1"/>
    <x v="0"/>
    <s v="Michigan"/>
    <x v="1"/>
    <s v="Folders"/>
    <s v="Folders"/>
    <s v="Priya Nair"/>
    <n v="18"/>
    <n v="8.33"/>
    <n v="149.94"/>
    <n v="54.75"/>
    <n v="95.19"/>
    <n v="137"/>
  </r>
  <r>
    <s v="ORD-1164"/>
    <s v="2024-07-17"/>
    <x v="6"/>
    <s v="Q3"/>
    <x v="0"/>
    <s v="Illinois"/>
    <x v="2"/>
    <s v="Chair"/>
    <s v="Chair"/>
    <s v="Tom Kowalski"/>
    <n v="6"/>
    <n v="297.86"/>
    <n v="1787.16"/>
    <n v="1119.78"/>
    <n v="667.38"/>
    <n v="1962.78"/>
  </r>
  <r>
    <s v="ORD-1165"/>
    <s v="2024-09-10"/>
    <x v="5"/>
    <s v="Q3"/>
    <x v="0"/>
    <s v="Minnesota"/>
    <x v="0"/>
    <s v="Keyboards"/>
    <s v="Keyboards"/>
    <s v="Priya Nair"/>
    <n v="10"/>
    <n v="50.88"/>
    <n v="508.8"/>
    <n v="303.43"/>
    <n v="205.37"/>
    <n v="449.12"/>
  </r>
  <r>
    <s v="ORD-1166"/>
    <s v="2024-10-19"/>
    <x v="1"/>
    <s v="Q4"/>
    <x v="3"/>
    <s v="Florida"/>
    <x v="2"/>
    <s v="Bookcase"/>
    <s v="Bookcase"/>
    <s v="James Liu"/>
    <n v="19"/>
    <n v="208.36"/>
    <n v="3958.84"/>
    <n v="2175.39"/>
    <n v="1783.45"/>
    <n v="4561.8599999999997"/>
  </r>
  <r>
    <s v="ORD-1167"/>
    <s v="2024-01-21"/>
    <x v="7"/>
    <s v="Q1"/>
    <x v="1"/>
    <s v="Pennsylvania"/>
    <x v="2"/>
    <s v="Cabinet"/>
    <s v="Cabinet"/>
    <s v="Aisha Brown"/>
    <n v="1"/>
    <n v="266.14"/>
    <n v="266.14"/>
    <n v="159.97"/>
    <n v="106.17"/>
    <n v="284.64"/>
  </r>
  <r>
    <s v="ORD-1168"/>
    <s v="2024-11-10"/>
    <x v="0"/>
    <s v="Q4"/>
    <x v="2"/>
    <s v="Washington"/>
    <x v="2"/>
    <s v="Cabinet"/>
    <s v="Cabinet"/>
    <s v="Sarah Kim"/>
    <n v="3"/>
    <n v="249.47"/>
    <n v="748.41"/>
    <n v="489.05"/>
    <n v="259.36"/>
    <n v="677.56"/>
  </r>
  <r>
    <s v="ORD-1169"/>
    <s v="2024-08-15"/>
    <x v="11"/>
    <s v="Q3"/>
    <x v="3"/>
    <s v="Georgia"/>
    <x v="2"/>
    <s v="Chair"/>
    <s v="Chair"/>
    <s v="Sarah Kim"/>
    <n v="11"/>
    <n v="298.38"/>
    <n v="3282.18"/>
    <n v="2138.9499999999998"/>
    <n v="1143.23"/>
    <n v="3778.68"/>
  </r>
  <r>
    <s v="ORD-1170"/>
    <s v="2024-03-25"/>
    <x v="8"/>
    <s v="Q1"/>
    <x v="1"/>
    <s v="New York"/>
    <x v="1"/>
    <s v="Pens"/>
    <s v="Pens"/>
    <s v="Maria Santos"/>
    <n v="9"/>
    <n v="11.92"/>
    <n v="107.28"/>
    <n v="35.82"/>
    <n v="71.459999999999994"/>
    <n v="96.48"/>
  </r>
  <r>
    <s v="ORD-1171"/>
    <s v="2024-05-13"/>
    <x v="9"/>
    <s v="Q2"/>
    <x v="2"/>
    <s v="Washington"/>
    <x v="0"/>
    <s v="Keyboards"/>
    <s v="Keyboards"/>
    <s v="Derek Thompson"/>
    <n v="11"/>
    <n v="59.77"/>
    <n v="657.47"/>
    <n v="319.76"/>
    <n v="337.71"/>
    <n v="595.52"/>
  </r>
  <r>
    <s v="ORD-1172"/>
    <s v="2024-08-10"/>
    <x v="11"/>
    <s v="Q3"/>
    <x v="2"/>
    <s v="California"/>
    <x v="0"/>
    <s v="Headphones"/>
    <s v="Headphones"/>
    <s v="Maria Santos"/>
    <n v="8"/>
    <n v="95.1"/>
    <n v="760.8"/>
    <n v="466.33"/>
    <n v="294.47000000000003"/>
    <n v="740.65"/>
  </r>
  <r>
    <s v="ORD-1173"/>
    <s v="2024-05-16"/>
    <x v="9"/>
    <s v="Q2"/>
    <x v="2"/>
    <s v="Oregon"/>
    <x v="2"/>
    <s v="Desk"/>
    <s v="Desk"/>
    <s v="Tom Kowalski"/>
    <n v="14"/>
    <n v="449.16"/>
    <n v="6288.24"/>
    <n v="3776.5"/>
    <n v="2511.7399999999998"/>
    <n v="5927.08"/>
  </r>
  <r>
    <s v="ORD-1174"/>
    <s v="2024-07-12"/>
    <x v="6"/>
    <s v="Q3"/>
    <x v="0"/>
    <s v="Michigan"/>
    <x v="0"/>
    <s v="Monitors"/>
    <s v="Monitors"/>
    <s v="Aisha Brown"/>
    <n v="10"/>
    <n v="272.3"/>
    <n v="2723"/>
    <n v="1914.71"/>
    <n v="808.29"/>
    <n v="2795.13"/>
  </r>
  <r>
    <s v="ORD-1175"/>
    <s v="2024-10-22"/>
    <x v="1"/>
    <s v="Q4"/>
    <x v="0"/>
    <s v="Wisconsin"/>
    <x v="0"/>
    <s v="Headphones"/>
    <s v="Headphones"/>
    <s v="Priya Nair"/>
    <n v="11"/>
    <n v="92.59"/>
    <n v="1018.49"/>
    <n v="663.82"/>
    <n v="354.67"/>
    <n v="996.04"/>
  </r>
  <r>
    <s v="ORD-1176"/>
    <s v="2024-04-20"/>
    <x v="2"/>
    <s v="Q2"/>
    <x v="2"/>
    <s v="California"/>
    <x v="0"/>
    <s v="Laptops"/>
    <s v="Laptops"/>
    <s v="Priya Nair"/>
    <n v="11"/>
    <n v="602.80999999999995"/>
    <n v="6630.91"/>
    <n v="5893.87"/>
    <n v="737.04"/>
    <n v="6841.55"/>
  </r>
  <r>
    <s v="ORD-1177"/>
    <s v="2024-10-17"/>
    <x v="1"/>
    <s v="Q4"/>
    <x v="3"/>
    <s v="Georgia"/>
    <x v="2"/>
    <s v="Bookcase"/>
    <s v="Bookcase"/>
    <s v="Tom Kowalski"/>
    <n v="20"/>
    <n v="181.84"/>
    <n v="3636.8"/>
    <n v="2457.44"/>
    <n v="1179.3599999999999"/>
    <n v="3472.17"/>
  </r>
  <r>
    <s v="ORD-1178"/>
    <s v="2024-09-27"/>
    <x v="5"/>
    <s v="Q3"/>
    <x v="2"/>
    <s v="Oregon"/>
    <x v="1"/>
    <s v="Paper"/>
    <s v="Paper"/>
    <s v="Maria Santos"/>
    <n v="4"/>
    <n v="17.53"/>
    <n v="70.12"/>
    <n v="33.54"/>
    <n v="36.58"/>
    <n v="73.930000000000007"/>
  </r>
  <r>
    <s v="ORD-1179"/>
    <s v="2024-10-16"/>
    <x v="1"/>
    <s v="Q4"/>
    <x v="1"/>
    <s v="Pennsylvania"/>
    <x v="2"/>
    <s v="Desk"/>
    <s v="Desk"/>
    <s v="Sarah Kim"/>
    <n v="6"/>
    <n v="427.02"/>
    <n v="2562.12"/>
    <n v="1684.07"/>
    <n v="878.05"/>
    <n v="2824.52"/>
  </r>
  <r>
    <s v="ORD-1180"/>
    <s v="2024-03-27"/>
    <x v="8"/>
    <s v="Q1"/>
    <x v="3"/>
    <s v="Texas"/>
    <x v="2"/>
    <s v="Desk"/>
    <s v="Desk"/>
    <s v="Carlos Ruiz"/>
    <n v="15"/>
    <n v="394.03"/>
    <n v="5910.45"/>
    <n v="4121.75"/>
    <n v="1788.7"/>
    <n v="5337.14"/>
  </r>
  <r>
    <s v="ORD-1181"/>
    <s v="2024-07-17"/>
    <x v="6"/>
    <s v="Q3"/>
    <x v="2"/>
    <s v="California"/>
    <x v="2"/>
    <s v="Chair"/>
    <s v="Chair"/>
    <s v="Sarah Kim"/>
    <n v="18"/>
    <n v="311.16000000000003"/>
    <n v="5600.88"/>
    <n v="3360.17"/>
    <n v="2240.71"/>
    <n v="6058.92"/>
  </r>
  <r>
    <s v="ORD-1182"/>
    <s v="2024-06-06"/>
    <x v="10"/>
    <s v="Q2"/>
    <x v="2"/>
    <s v="Oregon"/>
    <x v="2"/>
    <s v="Bookcase"/>
    <s v="Bookcase"/>
    <s v="Carlos Ruiz"/>
    <n v="9"/>
    <n v="201.86"/>
    <n v="1816.74"/>
    <n v="1091.8900000000001"/>
    <n v="724.85"/>
    <n v="1666.48"/>
  </r>
  <r>
    <s v="ORD-1183"/>
    <s v="2024-05-18"/>
    <x v="9"/>
    <s v="Q2"/>
    <x v="1"/>
    <s v="Pennsylvania"/>
    <x v="1"/>
    <s v="Folders"/>
    <s v="Folders"/>
    <s v="Aisha Brown"/>
    <n v="16"/>
    <n v="9.3699999999999992"/>
    <n v="149.91999999999999"/>
    <n v="47.12"/>
    <n v="102.8"/>
    <n v="145.72999999999999"/>
  </r>
  <r>
    <s v="ORD-1184"/>
    <s v="2024-05-04"/>
    <x v="9"/>
    <s v="Q2"/>
    <x v="2"/>
    <s v="Nevada"/>
    <x v="1"/>
    <s v="Pens"/>
    <s v="Pens"/>
    <s v="Derek Thompson"/>
    <n v="10"/>
    <n v="11.5"/>
    <n v="115"/>
    <n v="41.82"/>
    <n v="73.180000000000007"/>
    <n v="100.93"/>
  </r>
  <r>
    <s v="ORD-1185"/>
    <s v="2024-11-09"/>
    <x v="0"/>
    <s v="Q4"/>
    <x v="2"/>
    <s v="Washington"/>
    <x v="0"/>
    <s v="Keyboards"/>
    <s v="Keyboards"/>
    <s v="Carlos Ruiz"/>
    <n v="9"/>
    <n v="59.76"/>
    <n v="537.84"/>
    <n v="260.20999999999998"/>
    <n v="277.63"/>
    <n v="573.05999999999995"/>
  </r>
  <r>
    <s v="ORD-1186"/>
    <s v="2024-04-02"/>
    <x v="2"/>
    <s v="Q2"/>
    <x v="3"/>
    <s v="Florida"/>
    <x v="0"/>
    <s v="Laptops"/>
    <s v="Laptops"/>
    <s v="Maria Santos"/>
    <n v="16"/>
    <n v="638.73"/>
    <n v="10219.68"/>
    <n v="7987.65"/>
    <n v="2232.0300000000002"/>
    <n v="11443.67"/>
  </r>
  <r>
    <s v="ORD-1187"/>
    <s v="2024-09-06"/>
    <x v="5"/>
    <s v="Q3"/>
    <x v="2"/>
    <s v="Nevada"/>
    <x v="1"/>
    <s v="Pens"/>
    <s v="Pens"/>
    <s v="James Liu"/>
    <n v="10"/>
    <n v="12.61"/>
    <n v="126.1"/>
    <n v="39.28"/>
    <n v="86.82"/>
    <n v="135.69"/>
  </r>
  <r>
    <s v="ORD-1188"/>
    <s v="2024-11-19"/>
    <x v="0"/>
    <s v="Q4"/>
    <x v="3"/>
    <s v="Texas"/>
    <x v="0"/>
    <s v="Headphones"/>
    <s v="Headphones"/>
    <s v="Sarah Kim"/>
    <n v="6"/>
    <n v="102.26"/>
    <n v="613.55999999999995"/>
    <n v="375.62"/>
    <n v="237.94"/>
    <n v="529.33000000000004"/>
  </r>
  <r>
    <s v="ORD-1189"/>
    <s v="2024-08-06"/>
    <x v="11"/>
    <s v="Q3"/>
    <x v="1"/>
    <s v="New York"/>
    <x v="0"/>
    <s v="Keyboards"/>
    <s v="Keyboards"/>
    <s v="Derek Thompson"/>
    <n v="4"/>
    <n v="55.75"/>
    <n v="223"/>
    <n v="125.14"/>
    <n v="97.86"/>
    <n v="215.7"/>
  </r>
  <r>
    <s v="ORD-1190"/>
    <s v="2024-11-18"/>
    <x v="0"/>
    <s v="Q4"/>
    <x v="2"/>
    <s v="Washington"/>
    <x v="2"/>
    <s v="Cabinet"/>
    <s v="Cabinet"/>
    <s v="Aisha Brown"/>
    <n v="4"/>
    <n v="248.19"/>
    <n v="992.76"/>
    <n v="629.16"/>
    <n v="363.6"/>
    <n v="1097.8900000000001"/>
  </r>
  <r>
    <s v="ORD-1191"/>
    <s v="2024-12-06"/>
    <x v="4"/>
    <s v="Q4"/>
    <x v="0"/>
    <s v="Minnesota"/>
    <x v="1"/>
    <s v="Pens"/>
    <s v="Pens"/>
    <s v="James Liu"/>
    <n v="13"/>
    <n v="11.22"/>
    <n v="145.86000000000001"/>
    <n v="53.7"/>
    <n v="92.16"/>
    <n v="150.29"/>
  </r>
  <r>
    <s v="ORD-1192"/>
    <s v="2024-07-22"/>
    <x v="6"/>
    <s v="Q3"/>
    <x v="0"/>
    <s v="Wisconsin"/>
    <x v="0"/>
    <s v="Headphones"/>
    <s v="Headphones"/>
    <s v="Derek Thompson"/>
    <n v="8"/>
    <n v="91.65"/>
    <n v="733.2"/>
    <n v="456.33"/>
    <n v="276.87"/>
    <n v="721.65"/>
  </r>
  <r>
    <s v="ORD-1193"/>
    <s v="2024-05-11"/>
    <x v="9"/>
    <s v="Q2"/>
    <x v="1"/>
    <s v="New York"/>
    <x v="1"/>
    <s v="Folders"/>
    <s v="Folders"/>
    <s v="Priya Nair"/>
    <n v="2"/>
    <n v="9.35"/>
    <n v="18.7"/>
    <n v="6.1"/>
    <n v="12.6"/>
    <n v="18.940000000000001"/>
  </r>
  <r>
    <s v="ORD-1194"/>
    <s v="2024-07-22"/>
    <x v="6"/>
    <s v="Q3"/>
    <x v="1"/>
    <s v="New York"/>
    <x v="2"/>
    <s v="Bookcase"/>
    <s v="Bookcase"/>
    <s v="Priya Nair"/>
    <n v="8"/>
    <n v="189.83"/>
    <n v="1518.64"/>
    <n v="933.04"/>
    <n v="585.6"/>
    <n v="1361.84"/>
  </r>
  <r>
    <s v="ORD-1195"/>
    <s v="2024-08-24"/>
    <x v="11"/>
    <s v="Q3"/>
    <x v="1"/>
    <s v="Massachusetts"/>
    <x v="2"/>
    <s v="Cabinet"/>
    <s v="Cabinet"/>
    <s v="James Liu"/>
    <n v="7"/>
    <n v="273.38"/>
    <n v="1913.66"/>
    <n v="1149.33"/>
    <n v="764.33"/>
    <n v="2082.29"/>
  </r>
  <r>
    <s v="ORD-1196"/>
    <s v="2024-09-15"/>
    <x v="5"/>
    <s v="Q3"/>
    <x v="1"/>
    <s v="New York"/>
    <x v="2"/>
    <s v="Desk"/>
    <s v="Desk"/>
    <s v="Priya Nair"/>
    <n v="18"/>
    <n v="383.19"/>
    <n v="6897.42"/>
    <n v="5243.06"/>
    <n v="1654.36"/>
    <n v="6350.83"/>
  </r>
  <r>
    <s v="ORD-1197"/>
    <s v="2024-03-11"/>
    <x v="8"/>
    <s v="Q1"/>
    <x v="2"/>
    <s v="California"/>
    <x v="2"/>
    <s v="Chair"/>
    <s v="Chair"/>
    <s v="Maria Santos"/>
    <n v="16"/>
    <n v="323.45"/>
    <n v="5175.2"/>
    <n v="2915.65"/>
    <n v="2259.5500000000002"/>
    <n v="5323.37"/>
  </r>
  <r>
    <s v="ORD-1198"/>
    <s v="2024-08-05"/>
    <x v="11"/>
    <s v="Q3"/>
    <x v="2"/>
    <s v="Nevada"/>
    <x v="2"/>
    <s v="Desk"/>
    <s v="Desk"/>
    <s v="Maria Santos"/>
    <n v="10"/>
    <n v="424.94"/>
    <n v="4249.3999999999996"/>
    <n v="2862.52"/>
    <n v="1386.88"/>
    <n v="4200.88"/>
  </r>
  <r>
    <s v="ORD-1199"/>
    <s v="2024-12-07"/>
    <x v="4"/>
    <s v="Q4"/>
    <x v="0"/>
    <s v="Illinois"/>
    <x v="1"/>
    <s v="Folders"/>
    <s v="Folders"/>
    <s v="James Liu"/>
    <n v="18"/>
    <n v="9.36"/>
    <n v="168.48"/>
    <n v="56.67"/>
    <n v="111.81"/>
    <n v="198.32"/>
  </r>
  <r>
    <s v="ORD-1200"/>
    <s v="2024-08-02"/>
    <x v="11"/>
    <s v="Q3"/>
    <x v="1"/>
    <s v="Massachusetts"/>
    <x v="0"/>
    <s v="Monitors"/>
    <s v="Monitors"/>
    <s v="Derek Thompson"/>
    <n v="14"/>
    <n v="294.89"/>
    <n v="4128.46"/>
    <n v="2764.85"/>
    <n v="1363.61"/>
    <n v="4797.13"/>
  </r>
  <r>
    <s v="ORD-1201"/>
    <s v="2024-07-13"/>
    <x v="6"/>
    <s v="Q3"/>
    <x v="0"/>
    <s v="Wisconsin"/>
    <x v="2"/>
    <s v="Bookcase"/>
    <s v="Bookcase"/>
    <s v="Carlos Ruiz"/>
    <n v="18"/>
    <n v="180.13"/>
    <n v="3242.34"/>
    <n v="2136.9"/>
    <n v="1105.44"/>
    <n v="2900.5"/>
  </r>
  <r>
    <s v="ORD-1202"/>
    <s v="2024-01-25"/>
    <x v="7"/>
    <s v="Q1"/>
    <x v="0"/>
    <s v="Minnesota"/>
    <x v="1"/>
    <s v="Stapler"/>
    <s v="Stapler"/>
    <s v="Aisha Brown"/>
    <n v="8"/>
    <n v="22.14"/>
    <n v="177.12"/>
    <n v="77.98"/>
    <n v="99.14"/>
    <n v="172.01"/>
  </r>
  <r>
    <s v="ORD-1203"/>
    <s v="2024-04-24"/>
    <x v="2"/>
    <s v="Q2"/>
    <x v="0"/>
    <s v="Illinois"/>
    <x v="2"/>
    <s v="Cabinet"/>
    <s v="Cabinet"/>
    <s v="Maria Santos"/>
    <n v="1"/>
    <n v="265.98"/>
    <n v="265.98"/>
    <n v="155.85"/>
    <n v="110.13"/>
    <n v="232.35"/>
  </r>
  <r>
    <s v="ORD-1204"/>
    <s v="2024-08-20"/>
    <x v="11"/>
    <s v="Q3"/>
    <x v="0"/>
    <s v="Wisconsin"/>
    <x v="2"/>
    <s v="Desk"/>
    <s v="Desk"/>
    <s v="Maria Santos"/>
    <n v="8"/>
    <n v="411.79"/>
    <n v="3294.32"/>
    <n v="2248.91"/>
    <n v="1045.4100000000001"/>
    <n v="3669.99"/>
  </r>
  <r>
    <s v="ORD-1205"/>
    <s v="2024-03-17"/>
    <x v="8"/>
    <s v="Q1"/>
    <x v="1"/>
    <s v="Pennsylvania"/>
    <x v="2"/>
    <s v="Bookcase"/>
    <s v="Bookcase"/>
    <s v="Carlos Ruiz"/>
    <n v="11"/>
    <n v="198.02"/>
    <n v="2178.2199999999998"/>
    <n v="1285.27"/>
    <n v="892.95"/>
    <n v="2519.5300000000002"/>
  </r>
  <r>
    <s v="ORD-1206"/>
    <s v="2024-07-10"/>
    <x v="6"/>
    <s v="Q3"/>
    <x v="1"/>
    <s v="New York"/>
    <x v="2"/>
    <s v="Chair"/>
    <s v="Chair"/>
    <s v="Tom Kowalski"/>
    <n v="14"/>
    <n v="317.81"/>
    <n v="4449.34"/>
    <n v="2674.86"/>
    <n v="1774.48"/>
    <n v="3854.95"/>
  </r>
  <r>
    <s v="ORD-1207"/>
    <s v="2024-11-22"/>
    <x v="0"/>
    <s v="Q4"/>
    <x v="2"/>
    <s v="Oregon"/>
    <x v="2"/>
    <s v="Cabinet"/>
    <s v="Cabinet"/>
    <s v="Derek Thompson"/>
    <n v="10"/>
    <n v="255.23"/>
    <n v="2552.3000000000002"/>
    <n v="1580.23"/>
    <n v="972.07"/>
    <n v="2843.38"/>
  </r>
  <r>
    <s v="ORD-1208"/>
    <s v="2024-04-28"/>
    <x v="2"/>
    <s v="Q2"/>
    <x v="3"/>
    <s v="Georgia"/>
    <x v="2"/>
    <s v="Chair"/>
    <s v="Chair"/>
    <s v="Priya Nair"/>
    <n v="2"/>
    <n v="328.96"/>
    <n v="657.92"/>
    <n v="382.37"/>
    <n v="275.55"/>
    <n v="782.09"/>
  </r>
  <r>
    <s v="ORD-1209"/>
    <s v="2024-07-08"/>
    <x v="6"/>
    <s v="Q3"/>
    <x v="1"/>
    <s v="Pennsylvania"/>
    <x v="1"/>
    <s v="Paper"/>
    <s v="Paper"/>
    <s v="Carlos Ruiz"/>
    <n v="12"/>
    <n v="19.52"/>
    <n v="234.24"/>
    <n v="92.09"/>
    <n v="142.15"/>
    <n v="258.51"/>
  </r>
  <r>
    <s v="ORD-1210"/>
    <s v="2024-01-09"/>
    <x v="7"/>
    <s v="Q1"/>
    <x v="2"/>
    <s v="California"/>
    <x v="0"/>
    <s v="Monitors"/>
    <s v="Monitors"/>
    <s v="Derek Thompson"/>
    <n v="19"/>
    <n v="297.06"/>
    <n v="5644.14"/>
    <n v="3885.24"/>
    <n v="1758.9"/>
    <n v="5901.5"/>
  </r>
  <r>
    <s v="ORD-1211"/>
    <s v="2024-04-28"/>
    <x v="2"/>
    <s v="Q2"/>
    <x v="1"/>
    <s v="New Jersey"/>
    <x v="0"/>
    <s v="Monitors"/>
    <s v="Monitors"/>
    <s v="Carlos Ruiz"/>
    <n v="4"/>
    <n v="304.48"/>
    <n v="1217.92"/>
    <n v="819.75"/>
    <n v="398.17"/>
    <n v="1356.78"/>
  </r>
  <r>
    <s v="ORD-1212"/>
    <s v="2024-12-20"/>
    <x v="4"/>
    <s v="Q4"/>
    <x v="3"/>
    <s v="Louisiana"/>
    <x v="0"/>
    <s v="Keyboards"/>
    <s v="Keyboards"/>
    <s v="Aisha Brown"/>
    <n v="13"/>
    <n v="58.03"/>
    <n v="754.39"/>
    <n v="388.68"/>
    <n v="365.71"/>
    <n v="812.52"/>
  </r>
  <r>
    <s v="ORD-1213"/>
    <s v="2024-05-12"/>
    <x v="9"/>
    <s v="Q2"/>
    <x v="2"/>
    <s v="Nevada"/>
    <x v="0"/>
    <s v="Headphones"/>
    <s v="Headphones"/>
    <s v="Sarah Kim"/>
    <n v="11"/>
    <n v="99.97"/>
    <n v="1099.67"/>
    <n v="687.35"/>
    <n v="412.32"/>
    <n v="1077.4000000000001"/>
  </r>
  <r>
    <s v="ORD-1214"/>
    <s v="2024-01-19"/>
    <x v="7"/>
    <s v="Q1"/>
    <x v="3"/>
    <s v="Florida"/>
    <x v="0"/>
    <s v="Keyboards"/>
    <s v="Keyboards"/>
    <s v="Priya Nair"/>
    <n v="19"/>
    <n v="55.59"/>
    <n v="1056.21"/>
    <n v="574.51"/>
    <n v="481.7"/>
    <n v="1052.1500000000001"/>
  </r>
  <r>
    <s v="ORD-1215"/>
    <s v="2024-04-11"/>
    <x v="2"/>
    <s v="Q2"/>
    <x v="3"/>
    <s v="Louisiana"/>
    <x v="2"/>
    <s v="Chair"/>
    <s v="Chair"/>
    <s v="Derek Thompson"/>
    <n v="11"/>
    <n v="309.95999999999998"/>
    <n v="3409.56"/>
    <n v="2039.28"/>
    <n v="1370.28"/>
    <n v="3878.57"/>
  </r>
  <r>
    <s v="ORD-1216"/>
    <s v="2024-08-06"/>
    <x v="11"/>
    <s v="Q3"/>
    <x v="1"/>
    <s v="Pennsylvania"/>
    <x v="0"/>
    <s v="Headphones"/>
    <s v="Headphones"/>
    <s v="Maria Santos"/>
    <n v="18"/>
    <n v="89"/>
    <n v="1602"/>
    <n v="1132.95"/>
    <n v="469.05"/>
    <n v="1898.42"/>
  </r>
  <r>
    <s v="ORD-1217"/>
    <s v="2024-02-27"/>
    <x v="3"/>
    <s v="Q1"/>
    <x v="0"/>
    <s v="Illinois"/>
    <x v="1"/>
    <s v="Pens"/>
    <s v="Pens"/>
    <s v="Carlos Ruiz"/>
    <n v="8"/>
    <n v="12.82"/>
    <n v="102.56"/>
    <n v="30.62"/>
    <n v="71.94"/>
    <n v="92.6"/>
  </r>
  <r>
    <s v="ORD-1218"/>
    <s v="2024-09-15"/>
    <x v="5"/>
    <s v="Q3"/>
    <x v="1"/>
    <s v="New York"/>
    <x v="2"/>
    <s v="Cabinet"/>
    <s v="Cabinet"/>
    <s v="Maria Santos"/>
    <n v="1"/>
    <n v="268.27999999999997"/>
    <n v="268.27999999999997"/>
    <n v="152.11000000000001"/>
    <n v="116.17"/>
    <n v="279.83999999999997"/>
  </r>
  <r>
    <s v="ORD-1219"/>
    <s v="2024-01-17"/>
    <x v="7"/>
    <s v="Q1"/>
    <x v="1"/>
    <s v="New Jersey"/>
    <x v="0"/>
    <s v="Headphones"/>
    <s v="Headphones"/>
    <s v="Priya Nair"/>
    <n v="6"/>
    <n v="100.82"/>
    <n v="604.91999999999996"/>
    <n v="345.85"/>
    <n v="259.07"/>
    <n v="534.57000000000005"/>
  </r>
  <r>
    <s v="ORD-1220"/>
    <s v="2024-04-07"/>
    <x v="2"/>
    <s v="Q2"/>
    <x v="1"/>
    <s v="New Jersey"/>
    <x v="1"/>
    <s v="Stapler"/>
    <s v="Stapler"/>
    <s v="Carlos Ruiz"/>
    <n v="13"/>
    <n v="20.149999999999999"/>
    <n v="261.95"/>
    <n v="129.47"/>
    <n v="132.47999999999999"/>
    <n v="244.96"/>
  </r>
  <r>
    <s v="ORD-1221"/>
    <s v="2024-05-22"/>
    <x v="9"/>
    <s v="Q2"/>
    <x v="0"/>
    <s v="Illinois"/>
    <x v="0"/>
    <s v="Headphones"/>
    <s v="Headphones"/>
    <s v="Priya Nair"/>
    <n v="18"/>
    <n v="92.71"/>
    <n v="1668.78"/>
    <n v="1077.4100000000001"/>
    <n v="591.37"/>
    <n v="1790.37"/>
  </r>
  <r>
    <s v="ORD-1222"/>
    <s v="2024-02-16"/>
    <x v="3"/>
    <s v="Q1"/>
    <x v="2"/>
    <s v="Oregon"/>
    <x v="2"/>
    <s v="Desk"/>
    <s v="Desk"/>
    <s v="Derek Thompson"/>
    <n v="2"/>
    <n v="453.16"/>
    <n v="906.32"/>
    <n v="544.87"/>
    <n v="361.45"/>
    <n v="1056.27"/>
  </r>
  <r>
    <s v="ORD-1223"/>
    <s v="2024-05-02"/>
    <x v="9"/>
    <s v="Q2"/>
    <x v="0"/>
    <s v="Minnesota"/>
    <x v="2"/>
    <s v="Desk"/>
    <s v="Desk"/>
    <s v="Priya Nair"/>
    <n v="11"/>
    <n v="393.07"/>
    <n v="4323.7700000000004"/>
    <n v="2930.82"/>
    <n v="1392.95"/>
    <n v="3988.7"/>
  </r>
  <r>
    <s v="ORD-1224"/>
    <s v="2024-12-27"/>
    <x v="4"/>
    <s v="Q4"/>
    <x v="2"/>
    <s v="California"/>
    <x v="1"/>
    <s v="Pens"/>
    <s v="Pens"/>
    <s v="Tom Kowalski"/>
    <n v="19"/>
    <n v="12.15"/>
    <n v="230.85"/>
    <n v="78.540000000000006"/>
    <n v="152.31"/>
    <n v="227.67"/>
  </r>
  <r>
    <s v="ORD-1225"/>
    <s v="2024-07-25"/>
    <x v="6"/>
    <s v="Q3"/>
    <x v="3"/>
    <s v="Texas"/>
    <x v="2"/>
    <s v="Bookcase"/>
    <s v="Bookcase"/>
    <s v="Sarah Kim"/>
    <n v="14"/>
    <n v="177.59"/>
    <n v="2486.2600000000002"/>
    <n v="1635"/>
    <n v="851.26"/>
    <n v="2179.4699999999998"/>
  </r>
  <r>
    <s v="ORD-1226"/>
    <s v="2024-06-01"/>
    <x v="10"/>
    <s v="Q2"/>
    <x v="1"/>
    <s v="Massachusetts"/>
    <x v="1"/>
    <s v="Pens"/>
    <s v="Pens"/>
    <s v="Sarah Kim"/>
    <n v="13"/>
    <n v="11.65"/>
    <n v="151.44999999999999"/>
    <n v="51.65"/>
    <n v="99.8"/>
    <n v="164.76"/>
  </r>
  <r>
    <s v="ORD-1227"/>
    <s v="2024-02-25"/>
    <x v="3"/>
    <s v="Q1"/>
    <x v="1"/>
    <s v="Pennsylvania"/>
    <x v="2"/>
    <s v="Desk"/>
    <s v="Desk"/>
    <s v="Priya Nair"/>
    <n v="5"/>
    <n v="384.89"/>
    <n v="1924.45"/>
    <n v="1383.2"/>
    <n v="541.25"/>
    <n v="2163.7800000000002"/>
  </r>
  <r>
    <s v="ORD-1228"/>
    <s v="2024-12-13"/>
    <x v="4"/>
    <s v="Q4"/>
    <x v="1"/>
    <s v="New Jersey"/>
    <x v="0"/>
    <s v="Laptops"/>
    <s v="Laptops"/>
    <s v="James Liu"/>
    <n v="10"/>
    <n v="585.67999999999995"/>
    <n v="5856.8"/>
    <n v="5171.26"/>
    <n v="685.54"/>
    <n v="6538.95"/>
  </r>
  <r>
    <s v="ORD-1229"/>
    <s v="2024-03-03"/>
    <x v="8"/>
    <s v="Q1"/>
    <x v="3"/>
    <s v="Louisiana"/>
    <x v="1"/>
    <s v="Stapler"/>
    <s v="Stapler"/>
    <s v="Tom Kowalski"/>
    <n v="3"/>
    <n v="20.25"/>
    <n v="60.75"/>
    <n v="29.56"/>
    <n v="31.19"/>
    <n v="53.62"/>
  </r>
  <r>
    <s v="ORD-1230"/>
    <s v="2024-07-01"/>
    <x v="6"/>
    <s v="Q3"/>
    <x v="1"/>
    <s v="Massachusetts"/>
    <x v="1"/>
    <s v="Paper"/>
    <s v="Paper"/>
    <s v="Priya Nair"/>
    <n v="18"/>
    <n v="18.809999999999999"/>
    <n v="338.58"/>
    <n v="149.83000000000001"/>
    <n v="188.75"/>
    <n v="403.71"/>
  </r>
  <r>
    <s v="ORD-1231"/>
    <s v="2024-11-13"/>
    <x v="0"/>
    <s v="Q4"/>
    <x v="3"/>
    <s v="Florida"/>
    <x v="1"/>
    <s v="Folders"/>
    <s v="Folders"/>
    <s v="Sarah Kim"/>
    <n v="5"/>
    <n v="8.58"/>
    <n v="42.9"/>
    <n v="14.34"/>
    <n v="28.56"/>
    <n v="42.99"/>
  </r>
  <r>
    <s v="ORD-1232"/>
    <s v="2024-05-16"/>
    <x v="9"/>
    <s v="Q2"/>
    <x v="0"/>
    <s v="Minnesota"/>
    <x v="1"/>
    <s v="Pens"/>
    <s v="Pens"/>
    <s v="James Liu"/>
    <n v="16"/>
    <n v="12.53"/>
    <n v="200.48"/>
    <n v="64.599999999999994"/>
    <n v="135.88"/>
    <n v="184.13"/>
  </r>
  <r>
    <s v="ORD-1233"/>
    <s v="2024-03-10"/>
    <x v="8"/>
    <s v="Q1"/>
    <x v="0"/>
    <s v="Michigan"/>
    <x v="1"/>
    <s v="Stapler"/>
    <s v="Stapler"/>
    <s v="Priya Nair"/>
    <n v="11"/>
    <n v="23.34"/>
    <n v="256.74"/>
    <n v="109.34"/>
    <n v="147.4"/>
    <n v="256.92"/>
  </r>
  <r>
    <s v="ORD-1234"/>
    <s v="2024-05-11"/>
    <x v="9"/>
    <s v="Q2"/>
    <x v="3"/>
    <s v="Louisiana"/>
    <x v="1"/>
    <s v="Pens"/>
    <s v="Pens"/>
    <s v="Derek Thompson"/>
    <n v="11"/>
    <n v="13.11"/>
    <n v="144.21"/>
    <n v="43.08"/>
    <n v="101.13"/>
    <n v="157.66"/>
  </r>
  <r>
    <s v="ORD-1235"/>
    <s v="2024-10-26"/>
    <x v="1"/>
    <s v="Q4"/>
    <x v="3"/>
    <s v="Georgia"/>
    <x v="1"/>
    <s v="Folders"/>
    <s v="Folders"/>
    <s v="Carlos Ruiz"/>
    <n v="13"/>
    <n v="9.57"/>
    <n v="124.41"/>
    <n v="38.47"/>
    <n v="85.94"/>
    <n v="146.33000000000001"/>
  </r>
  <r>
    <s v="ORD-1236"/>
    <s v="2024-10-18"/>
    <x v="1"/>
    <s v="Q4"/>
    <x v="3"/>
    <s v="Texas"/>
    <x v="2"/>
    <s v="Cabinet"/>
    <s v="Cabinet"/>
    <s v="James Liu"/>
    <n v="7"/>
    <n v="283.02999999999997"/>
    <n v="1981.21"/>
    <n v="1113.1099999999999"/>
    <n v="868.1"/>
    <n v="1886.04"/>
  </r>
  <r>
    <s v="ORD-1237"/>
    <s v="2024-07-22"/>
    <x v="6"/>
    <s v="Q3"/>
    <x v="2"/>
    <s v="Washington"/>
    <x v="2"/>
    <s v="Bookcase"/>
    <s v="Bookcase"/>
    <s v="James Liu"/>
    <n v="5"/>
    <n v="184.94"/>
    <n v="924.7"/>
    <n v="612.91"/>
    <n v="311.79000000000002"/>
    <n v="1041.3800000000001"/>
  </r>
  <r>
    <s v="ORD-1238"/>
    <s v="2024-08-20"/>
    <x v="11"/>
    <s v="Q3"/>
    <x v="2"/>
    <s v="Nevada"/>
    <x v="2"/>
    <s v="Cabinet"/>
    <s v="Cabinet"/>
    <s v="James Liu"/>
    <n v="12"/>
    <n v="262.27"/>
    <n v="3147.24"/>
    <n v="1958.71"/>
    <n v="1188.53"/>
    <n v="3569.93"/>
  </r>
  <r>
    <s v="ORD-1239"/>
    <s v="2024-02-25"/>
    <x v="3"/>
    <s v="Q1"/>
    <x v="3"/>
    <s v="Georgia"/>
    <x v="0"/>
    <s v="Laptops"/>
    <s v="Laptops"/>
    <s v="Sarah Kim"/>
    <n v="13"/>
    <n v="658.22"/>
    <n v="8556.86"/>
    <n v="7075.56"/>
    <n v="1481.3"/>
    <n v="8266.43"/>
  </r>
  <r>
    <s v="ORD-1240"/>
    <s v="2024-02-01"/>
    <x v="3"/>
    <s v="Q1"/>
    <x v="0"/>
    <s v="Minnesota"/>
    <x v="0"/>
    <s v="Monitors"/>
    <s v="Monitors"/>
    <s v="Priya Nair"/>
    <n v="13"/>
    <n v="276.95999999999998"/>
    <n v="3600.48"/>
    <n v="2590.4"/>
    <n v="1010.08"/>
    <n v="3916.76"/>
  </r>
  <r>
    <s v="ORD-1241"/>
    <s v="2024-06-01"/>
    <x v="10"/>
    <s v="Q2"/>
    <x v="2"/>
    <s v="California"/>
    <x v="1"/>
    <s v="Stapler"/>
    <s v="Stapler"/>
    <s v="Priya Nair"/>
    <n v="3"/>
    <n v="23.85"/>
    <n v="71.55"/>
    <n v="28.85"/>
    <n v="42.7"/>
    <n v="84.37"/>
  </r>
  <r>
    <s v="ORD-1242"/>
    <s v="2024-06-10"/>
    <x v="10"/>
    <s v="Q2"/>
    <x v="1"/>
    <s v="Massachusetts"/>
    <x v="0"/>
    <s v="Headphones"/>
    <s v="Headphones"/>
    <s v="Tom Kowalski"/>
    <n v="4"/>
    <n v="92.12"/>
    <n v="368.48"/>
    <n v="238.52"/>
    <n v="129.96"/>
    <n v="403.07"/>
  </r>
  <r>
    <s v="ORD-1243"/>
    <s v="2024-02-10"/>
    <x v="3"/>
    <s v="Q1"/>
    <x v="0"/>
    <s v="Illinois"/>
    <x v="0"/>
    <s v="Keyboards"/>
    <s v="Keyboards"/>
    <s v="Priya Nair"/>
    <n v="6"/>
    <n v="56.63"/>
    <n v="339.78"/>
    <n v="187.74"/>
    <n v="152.04"/>
    <n v="376.87"/>
  </r>
  <r>
    <s v="ORD-1244"/>
    <s v="2024-09-06"/>
    <x v="5"/>
    <s v="Q3"/>
    <x v="1"/>
    <s v="Massachusetts"/>
    <x v="1"/>
    <s v="Pens"/>
    <s v="Pens"/>
    <s v="Sarah Kim"/>
    <n v="6"/>
    <n v="12.71"/>
    <n v="76.260000000000005"/>
    <n v="23.25"/>
    <n v="53.01"/>
    <n v="82.37"/>
  </r>
  <r>
    <s v="ORD-1245"/>
    <s v="2024-01-24"/>
    <x v="7"/>
    <s v="Q1"/>
    <x v="3"/>
    <s v="Louisiana"/>
    <x v="2"/>
    <s v="Cabinet"/>
    <s v="Cabinet"/>
    <s v="James Liu"/>
    <n v="7"/>
    <n v="254.22"/>
    <n v="1779.54"/>
    <n v="1087.05"/>
    <n v="692.49"/>
    <n v="1981.19"/>
  </r>
  <r>
    <s v="ORD-1246"/>
    <s v="2024-10-04"/>
    <x v="1"/>
    <s v="Q4"/>
    <x v="3"/>
    <s v="Georgia"/>
    <x v="1"/>
    <s v="Pens"/>
    <s v="Pens"/>
    <s v="Tom Kowalski"/>
    <n v="9"/>
    <n v="11.9"/>
    <n v="107.1"/>
    <n v="36.61"/>
    <n v="70.489999999999995"/>
    <n v="109.38"/>
  </r>
  <r>
    <s v="ORD-1247"/>
    <s v="2024-10-13"/>
    <x v="1"/>
    <s v="Q4"/>
    <x v="2"/>
    <s v="California"/>
    <x v="1"/>
    <s v="Folders"/>
    <s v="Folders"/>
    <s v="Aisha Brown"/>
    <n v="20"/>
    <n v="9.6199999999999992"/>
    <n v="192.4"/>
    <n v="58.04"/>
    <n v="134.36000000000001"/>
    <n v="208.9"/>
  </r>
  <r>
    <s v="ORD-1248"/>
    <s v="2024-10-19"/>
    <x v="1"/>
    <s v="Q4"/>
    <x v="0"/>
    <s v="Wisconsin"/>
    <x v="1"/>
    <s v="Paper"/>
    <s v="Paper"/>
    <s v="Sarah Kim"/>
    <n v="4"/>
    <n v="17.059999999999999"/>
    <n v="68.239999999999995"/>
    <n v="30.99"/>
    <n v="37.25"/>
    <n v="74.569999999999993"/>
  </r>
  <r>
    <s v="ORD-1249"/>
    <s v="2024-07-20"/>
    <x v="6"/>
    <s v="Q3"/>
    <x v="3"/>
    <s v="Louisiana"/>
    <x v="1"/>
    <s v="Pens"/>
    <s v="Pens"/>
    <s v="Priya Nair"/>
    <n v="18"/>
    <n v="11.97"/>
    <n v="215.46"/>
    <n v="73.39"/>
    <n v="142.07"/>
    <n v="231.8"/>
  </r>
  <r>
    <s v="ORD-1250"/>
    <s v="2024-09-06"/>
    <x v="5"/>
    <s v="Q3"/>
    <x v="2"/>
    <s v="Oregon"/>
    <x v="0"/>
    <s v="Monitors"/>
    <s v="Monitors"/>
    <s v="Maria Santos"/>
    <n v="15"/>
    <n v="269.62"/>
    <n v="4044.3"/>
    <n v="3035.82"/>
    <n v="1008.48"/>
    <n v="4662.8100000000004"/>
  </r>
  <r>
    <s v="ORD-1251"/>
    <s v="2024-08-05"/>
    <x v="11"/>
    <s v="Q3"/>
    <x v="3"/>
    <s v="Louisiana"/>
    <x v="2"/>
    <s v="Cabinet"/>
    <s v="Cabinet"/>
    <s v="Derek Thompson"/>
    <n v="16"/>
    <n v="255.27"/>
    <n v="4084.32"/>
    <n v="2538.4"/>
    <n v="1545.92"/>
    <n v="4672.3100000000004"/>
  </r>
  <r>
    <s v="ORD-1252"/>
    <s v="2024-03-03"/>
    <x v="8"/>
    <s v="Q1"/>
    <x v="0"/>
    <s v="Wisconsin"/>
    <x v="1"/>
    <s v="Paper"/>
    <s v="Paper"/>
    <s v="Derek Thompson"/>
    <n v="18"/>
    <n v="17.190000000000001"/>
    <n v="309.42"/>
    <n v="140.96"/>
    <n v="168.46"/>
    <n v="347.56"/>
  </r>
  <r>
    <s v="ORD-1253"/>
    <s v="2024-09-17"/>
    <x v="5"/>
    <s v="Q3"/>
    <x v="0"/>
    <s v="Illinois"/>
    <x v="1"/>
    <s v="Folders"/>
    <s v="Folders"/>
    <s v="Carlos Ruiz"/>
    <n v="2"/>
    <n v="9.08"/>
    <n v="18.16"/>
    <n v="6.16"/>
    <n v="12"/>
    <n v="18.239999999999998"/>
  </r>
  <r>
    <s v="ORD-1254"/>
    <s v="2024-07-04"/>
    <x v="6"/>
    <s v="Q3"/>
    <x v="3"/>
    <s v="Georgia"/>
    <x v="0"/>
    <s v="Headphones"/>
    <s v="Headphones"/>
    <s v="Carlos Ruiz"/>
    <n v="3"/>
    <n v="90.49"/>
    <n v="271.47000000000003"/>
    <n v="178.9"/>
    <n v="92.57"/>
    <n v="325.19"/>
  </r>
  <r>
    <s v="ORD-1255"/>
    <s v="2024-04-26"/>
    <x v="2"/>
    <s v="Q2"/>
    <x v="1"/>
    <s v="Massachusetts"/>
    <x v="0"/>
    <s v="Monitors"/>
    <s v="Monitors"/>
    <s v="Aisha Brown"/>
    <n v="7"/>
    <n v="295.95"/>
    <n v="2071.65"/>
    <n v="1442.76"/>
    <n v="628.89"/>
    <n v="2174.25"/>
  </r>
  <r>
    <s v="ORD-1256"/>
    <s v="2024-10-18"/>
    <x v="1"/>
    <s v="Q4"/>
    <x v="3"/>
    <s v="Georgia"/>
    <x v="2"/>
    <s v="Bookcase"/>
    <s v="Bookcase"/>
    <s v="James Liu"/>
    <n v="9"/>
    <n v="186.78"/>
    <n v="1681.02"/>
    <n v="1128.8599999999999"/>
    <n v="552.16"/>
    <n v="1731.53"/>
  </r>
  <r>
    <s v="ORD-1257"/>
    <s v="2024-03-25"/>
    <x v="8"/>
    <s v="Q1"/>
    <x v="2"/>
    <s v="California"/>
    <x v="1"/>
    <s v="Pens"/>
    <s v="Pens"/>
    <s v="Carlos Ruiz"/>
    <n v="5"/>
    <n v="12.48"/>
    <n v="62.4"/>
    <n v="19.5"/>
    <n v="42.9"/>
    <n v="68.58"/>
  </r>
  <r>
    <s v="ORD-1258"/>
    <s v="2024-11-13"/>
    <x v="0"/>
    <s v="Q4"/>
    <x v="2"/>
    <s v="Washington"/>
    <x v="2"/>
    <s v="Bookcase"/>
    <s v="Bookcase"/>
    <s v="James Liu"/>
    <n v="13"/>
    <n v="199.98"/>
    <n v="2599.7399999999998"/>
    <n v="1552.51"/>
    <n v="1047.23"/>
    <n v="2786.32"/>
  </r>
  <r>
    <s v="ORD-1259"/>
    <s v="2024-07-17"/>
    <x v="6"/>
    <s v="Q3"/>
    <x v="1"/>
    <s v="New Jersey"/>
    <x v="1"/>
    <s v="Stapler"/>
    <s v="Stapler"/>
    <s v="James Liu"/>
    <n v="1"/>
    <n v="21.24"/>
    <n v="21.24"/>
    <n v="10.37"/>
    <n v="10.87"/>
    <n v="24.35"/>
  </r>
  <r>
    <s v="ORD-1260"/>
    <s v="2024-12-15"/>
    <x v="4"/>
    <s v="Q4"/>
    <x v="1"/>
    <s v="New York"/>
    <x v="2"/>
    <s v="Cabinet"/>
    <s v="Cabinet"/>
    <s v="Tom Kowalski"/>
    <n v="14"/>
    <n v="245.33"/>
    <n v="3434.62"/>
    <n v="2312.77"/>
    <n v="1121.8499999999999"/>
    <n v="3514.13"/>
  </r>
  <r>
    <s v="ORD-1261"/>
    <s v="2024-05-11"/>
    <x v="9"/>
    <s v="Q2"/>
    <x v="3"/>
    <s v="Louisiana"/>
    <x v="1"/>
    <s v="Paper"/>
    <s v="Paper"/>
    <s v="Priya Nair"/>
    <n v="15"/>
    <n v="16.37"/>
    <n v="245.55"/>
    <n v="114.2"/>
    <n v="131.35"/>
    <n v="288.60000000000002"/>
  </r>
  <r>
    <s v="ORD-1262"/>
    <s v="2024-08-15"/>
    <x v="11"/>
    <s v="Q3"/>
    <x v="0"/>
    <s v="Michigan"/>
    <x v="0"/>
    <s v="Monitors"/>
    <s v="Monitors"/>
    <s v="Aisha Brown"/>
    <n v="10"/>
    <n v="301.39999999999998"/>
    <n v="3014"/>
    <n v="1931.8"/>
    <n v="1082.2"/>
    <n v="3545.83"/>
  </r>
  <r>
    <s v="ORD-1263"/>
    <s v="2024-02-21"/>
    <x v="3"/>
    <s v="Q1"/>
    <x v="1"/>
    <s v="New Jersey"/>
    <x v="0"/>
    <s v="Keyboards"/>
    <s v="Keyboards"/>
    <s v="Carlos Ruiz"/>
    <n v="6"/>
    <n v="56.81"/>
    <n v="340.86"/>
    <n v="171.93"/>
    <n v="168.93"/>
    <n v="364.37"/>
  </r>
  <r>
    <s v="ORD-1264"/>
    <s v="2024-07-21"/>
    <x v="6"/>
    <s v="Q3"/>
    <x v="0"/>
    <s v="Illinois"/>
    <x v="0"/>
    <s v="Monitors"/>
    <s v="Monitors"/>
    <s v="Derek Thompson"/>
    <n v="5"/>
    <n v="278.7"/>
    <n v="1393.5"/>
    <n v="1009.37"/>
    <n v="384.13"/>
    <n v="1437.82"/>
  </r>
  <r>
    <s v="ORD-1265"/>
    <s v="2024-01-01"/>
    <x v="7"/>
    <s v="Q1"/>
    <x v="1"/>
    <s v="New York"/>
    <x v="1"/>
    <s v="Pens"/>
    <s v="Pens"/>
    <s v="James Liu"/>
    <n v="8"/>
    <n v="11.95"/>
    <n v="95.6"/>
    <n v="31.63"/>
    <n v="63.97"/>
    <n v="105.71"/>
  </r>
  <r>
    <s v="ORD-1266"/>
    <s v="2024-02-11"/>
    <x v="3"/>
    <s v="Q1"/>
    <x v="1"/>
    <s v="New Jersey"/>
    <x v="0"/>
    <s v="Headphones"/>
    <s v="Headphones"/>
    <s v="James Liu"/>
    <n v="5"/>
    <n v="100.2"/>
    <n v="501"/>
    <n v="304.25"/>
    <n v="196.75"/>
    <n v="544.59"/>
  </r>
  <r>
    <s v="ORD-1267"/>
    <s v="2024-09-19"/>
    <x v="5"/>
    <s v="Q3"/>
    <x v="0"/>
    <s v="Wisconsin"/>
    <x v="1"/>
    <s v="Folders"/>
    <s v="Folders"/>
    <s v="Derek Thompson"/>
    <n v="5"/>
    <n v="9.4"/>
    <n v="47"/>
    <n v="15.63"/>
    <n v="31.37"/>
    <n v="50.08"/>
  </r>
  <r>
    <s v="ORD-1268"/>
    <s v="2024-04-03"/>
    <x v="2"/>
    <s v="Q2"/>
    <x v="0"/>
    <s v="Wisconsin"/>
    <x v="0"/>
    <s v="Headphones"/>
    <s v="Headphones"/>
    <s v="Aisha Brown"/>
    <n v="14"/>
    <n v="92.18"/>
    <n v="1290.52"/>
    <n v="824.42"/>
    <n v="466.1"/>
    <n v="1160.0999999999999"/>
  </r>
  <r>
    <s v="ORD-1269"/>
    <s v="2024-11-03"/>
    <x v="0"/>
    <s v="Q4"/>
    <x v="3"/>
    <s v="Georgia"/>
    <x v="2"/>
    <s v="Desk"/>
    <s v="Desk"/>
    <s v="Carlos Ruiz"/>
    <n v="10"/>
    <n v="449.22"/>
    <n v="4492.2"/>
    <n v="2717.52"/>
    <n v="1774.68"/>
    <n v="4772.62"/>
  </r>
  <r>
    <s v="ORD-1270"/>
    <s v="2024-12-13"/>
    <x v="4"/>
    <s v="Q4"/>
    <x v="1"/>
    <s v="New York"/>
    <x v="0"/>
    <s v="Headphones"/>
    <s v="Headphones"/>
    <s v="Maria Santos"/>
    <n v="8"/>
    <n v="92.83"/>
    <n v="742.64"/>
    <n v="479.98"/>
    <n v="262.66000000000003"/>
    <n v="785.62"/>
  </r>
  <r>
    <s v="ORD-1271"/>
    <s v="2024-06-11"/>
    <x v="10"/>
    <s v="Q2"/>
    <x v="3"/>
    <s v="Louisiana"/>
    <x v="2"/>
    <s v="Cabinet"/>
    <s v="Cabinet"/>
    <s v="James Liu"/>
    <n v="6"/>
    <n v="253"/>
    <n v="1518"/>
    <n v="985.22"/>
    <n v="532.78"/>
    <n v="1797.4"/>
  </r>
  <r>
    <s v="ORD-1272"/>
    <s v="2024-01-19"/>
    <x v="7"/>
    <s v="Q1"/>
    <x v="0"/>
    <s v="Illinois"/>
    <x v="1"/>
    <s v="Pens"/>
    <s v="Pens"/>
    <s v="Aisha Brown"/>
    <n v="2"/>
    <n v="10.9"/>
    <n v="21.8"/>
    <n v="8.36"/>
    <n v="13.44"/>
    <n v="21.57"/>
  </r>
  <r>
    <s v="ORD-1273"/>
    <s v="2024-11-23"/>
    <x v="0"/>
    <s v="Q4"/>
    <x v="2"/>
    <s v="Nevada"/>
    <x v="2"/>
    <s v="Cabinet"/>
    <s v="Cabinet"/>
    <s v="James Liu"/>
    <n v="18"/>
    <n v="238.29"/>
    <n v="4289.22"/>
    <n v="2890.84"/>
    <n v="1398.38"/>
    <n v="3875.05"/>
  </r>
  <r>
    <s v="ORD-1274"/>
    <s v="2024-05-03"/>
    <x v="9"/>
    <s v="Q2"/>
    <x v="3"/>
    <s v="Florida"/>
    <x v="2"/>
    <s v="Bookcase"/>
    <s v="Bookcase"/>
    <s v="Carlos Ruiz"/>
    <n v="3"/>
    <n v="190.74"/>
    <n v="572.22"/>
    <n v="353.17"/>
    <n v="219.05"/>
    <n v="574.01"/>
  </r>
  <r>
    <s v="ORD-1275"/>
    <s v="2024-01-08"/>
    <x v="7"/>
    <s v="Q1"/>
    <x v="0"/>
    <s v="Michigan"/>
    <x v="0"/>
    <s v="Headphones"/>
    <s v="Headphones"/>
    <s v="Priya Nair"/>
    <n v="2"/>
    <n v="97.13"/>
    <n v="194.26"/>
    <n v="117.71"/>
    <n v="76.55"/>
    <n v="215.55"/>
  </r>
  <r>
    <s v="ORD-1276"/>
    <s v="2024-02-01"/>
    <x v="3"/>
    <s v="Q1"/>
    <x v="3"/>
    <s v="Texas"/>
    <x v="0"/>
    <s v="Headphones"/>
    <s v="Headphones"/>
    <s v="Aisha Brown"/>
    <n v="17"/>
    <n v="103.61"/>
    <n v="1761.37"/>
    <n v="1021.76"/>
    <n v="739.61"/>
    <n v="2004.22"/>
  </r>
  <r>
    <s v="ORD-1277"/>
    <s v="2024-03-12"/>
    <x v="8"/>
    <s v="Q1"/>
    <x v="3"/>
    <s v="Georgia"/>
    <x v="2"/>
    <s v="Desk"/>
    <s v="Desk"/>
    <s v="James Liu"/>
    <n v="1"/>
    <n v="442.8"/>
    <n v="442.8"/>
    <n v="275.38"/>
    <n v="167.42"/>
    <n v="442.92"/>
  </r>
  <r>
    <s v="ORD-1278"/>
    <s v="2024-05-23"/>
    <x v="9"/>
    <s v="Q2"/>
    <x v="0"/>
    <s v="Michigan"/>
    <x v="1"/>
    <s v="Folders"/>
    <s v="Folders"/>
    <s v="James Liu"/>
    <n v="19"/>
    <n v="8.1999999999999993"/>
    <n v="155.80000000000001"/>
    <n v="55.1"/>
    <n v="100.7"/>
    <n v="141.01"/>
  </r>
  <r>
    <s v="ORD-1279"/>
    <s v="2024-10-22"/>
    <x v="1"/>
    <s v="Q4"/>
    <x v="0"/>
    <s v="Wisconsin"/>
    <x v="2"/>
    <s v="Desk"/>
    <s v="Desk"/>
    <s v="Sarah Kim"/>
    <n v="1"/>
    <n v="381.7"/>
    <n v="381.7"/>
    <n v="272.85000000000002"/>
    <n v="108.85"/>
    <n v="387.47"/>
  </r>
  <r>
    <s v="ORD-1280"/>
    <s v="2024-03-06"/>
    <x v="8"/>
    <s v="Q1"/>
    <x v="0"/>
    <s v="Michigan"/>
    <x v="0"/>
    <s v="Keyboards"/>
    <s v="Keyboards"/>
    <s v="Tom Kowalski"/>
    <n v="11"/>
    <n v="52.23"/>
    <n v="574.53"/>
    <n v="322.45"/>
    <n v="252.08"/>
    <n v="504.01"/>
  </r>
  <r>
    <s v="ORD-1281"/>
    <s v="2024-02-17"/>
    <x v="3"/>
    <s v="Q1"/>
    <x v="0"/>
    <s v="Wisconsin"/>
    <x v="0"/>
    <s v="Laptops"/>
    <s v="Laptops"/>
    <s v="Aisha Brown"/>
    <n v="3"/>
    <n v="709.03"/>
    <n v="2127.09"/>
    <n v="1618.81"/>
    <n v="508.28"/>
    <n v="2452.77"/>
  </r>
  <r>
    <s v="ORD-1282"/>
    <s v="2024-06-03"/>
    <x v="10"/>
    <s v="Q2"/>
    <x v="2"/>
    <s v="California"/>
    <x v="1"/>
    <s v="Pens"/>
    <s v="Pens"/>
    <s v="Tom Kowalski"/>
    <n v="10"/>
    <n v="11.5"/>
    <n v="115"/>
    <n v="40.96"/>
    <n v="74.040000000000006"/>
    <n v="107.51"/>
  </r>
  <r>
    <s v="ORD-1283"/>
    <s v="2024-10-16"/>
    <x v="1"/>
    <s v="Q4"/>
    <x v="3"/>
    <s v="Florida"/>
    <x v="0"/>
    <s v="Laptops"/>
    <s v="Laptops"/>
    <s v="Maria Santos"/>
    <n v="1"/>
    <n v="706.21"/>
    <n v="706.21"/>
    <n v="506.12"/>
    <n v="200.09"/>
    <n v="685.91"/>
  </r>
  <r>
    <s v="ORD-1284"/>
    <s v="2024-06-01"/>
    <x v="10"/>
    <s v="Q2"/>
    <x v="2"/>
    <s v="Oregon"/>
    <x v="0"/>
    <s v="Monitors"/>
    <s v="Monitors"/>
    <s v="Priya Nair"/>
    <n v="8"/>
    <n v="281.67"/>
    <n v="2253.36"/>
    <n v="1587.17"/>
    <n v="666.19"/>
    <n v="2673.42"/>
  </r>
  <r>
    <s v="ORD-1285"/>
    <s v="2024-12-09"/>
    <x v="4"/>
    <s v="Q4"/>
    <x v="0"/>
    <s v="Illinois"/>
    <x v="0"/>
    <s v="Headphones"/>
    <s v="Headphones"/>
    <s v="James Liu"/>
    <n v="12"/>
    <n v="98.82"/>
    <n v="1185.8399999999999"/>
    <n v="717.01"/>
    <n v="468.83"/>
    <n v="1318.38"/>
  </r>
  <r>
    <s v="ORD-1286"/>
    <s v="2024-09-05"/>
    <x v="5"/>
    <s v="Q3"/>
    <x v="2"/>
    <s v="California"/>
    <x v="2"/>
    <s v="Desk"/>
    <s v="Desk"/>
    <s v="Tom Kowalski"/>
    <n v="5"/>
    <n v="414.54"/>
    <n v="2072.6999999999998"/>
    <n v="1363.15"/>
    <n v="709.55"/>
    <n v="1951.13"/>
  </r>
  <r>
    <s v="ORD-1287"/>
    <s v="2024-07-23"/>
    <x v="6"/>
    <s v="Q3"/>
    <x v="1"/>
    <s v="New Jersey"/>
    <x v="1"/>
    <s v="Folders"/>
    <s v="Folders"/>
    <s v="James Liu"/>
    <n v="7"/>
    <n v="8.52"/>
    <n v="59.64"/>
    <n v="20.239999999999998"/>
    <n v="39.4"/>
    <n v="66.77"/>
  </r>
  <r>
    <s v="ORD-1288"/>
    <s v="2024-03-04"/>
    <x v="8"/>
    <s v="Q1"/>
    <x v="3"/>
    <s v="Louisiana"/>
    <x v="1"/>
    <s v="Folders"/>
    <s v="Folders"/>
    <s v="Derek Thompson"/>
    <n v="18"/>
    <n v="8.83"/>
    <n v="158.94"/>
    <n v="53.23"/>
    <n v="105.71"/>
    <n v="177.95"/>
  </r>
  <r>
    <s v="ORD-1289"/>
    <s v="2024-05-15"/>
    <x v="9"/>
    <s v="Q2"/>
    <x v="1"/>
    <s v="New York"/>
    <x v="0"/>
    <s v="Monitors"/>
    <s v="Monitors"/>
    <s v="Maria Santos"/>
    <n v="10"/>
    <n v="297.23"/>
    <n v="2972.3"/>
    <n v="2065.2800000000002"/>
    <n v="907.02"/>
    <n v="3251.42"/>
  </r>
  <r>
    <s v="ORD-1290"/>
    <s v="2024-04-27"/>
    <x v="2"/>
    <s v="Q2"/>
    <x v="1"/>
    <s v="Pennsylvania"/>
    <x v="0"/>
    <s v="Monitors"/>
    <s v="Monitors"/>
    <s v="Aisha Brown"/>
    <n v="13"/>
    <n v="306.23"/>
    <n v="3980.99"/>
    <n v="2603.5"/>
    <n v="1377.49"/>
    <n v="4327.3900000000003"/>
  </r>
  <r>
    <s v="ORD-1291"/>
    <s v="2024-03-01"/>
    <x v="8"/>
    <s v="Q1"/>
    <x v="2"/>
    <s v="Nevada"/>
    <x v="2"/>
    <s v="Chair"/>
    <s v="Chair"/>
    <s v="Maria Santos"/>
    <n v="4"/>
    <n v="284.87"/>
    <n v="1139.48"/>
    <n v="783.1"/>
    <n v="356.38"/>
    <n v="1024.31"/>
  </r>
  <r>
    <s v="ORD-1292"/>
    <s v="2024-01-27"/>
    <x v="7"/>
    <s v="Q1"/>
    <x v="3"/>
    <s v="Florida"/>
    <x v="0"/>
    <s v="Headphones"/>
    <s v="Headphones"/>
    <s v="James Liu"/>
    <n v="3"/>
    <n v="92.57"/>
    <n v="277.70999999999998"/>
    <n v="181.48"/>
    <n v="96.23"/>
    <n v="261.20999999999998"/>
  </r>
  <r>
    <s v="ORD-1293"/>
    <s v="2024-01-03"/>
    <x v="7"/>
    <s v="Q1"/>
    <x v="3"/>
    <s v="Louisiana"/>
    <x v="0"/>
    <s v="Laptops"/>
    <s v="Laptops"/>
    <s v="Maria Santos"/>
    <n v="11"/>
    <n v="702.66"/>
    <n v="7729.26"/>
    <n v="5504.09"/>
    <n v="2225.17"/>
    <n v="9118.9699999999993"/>
  </r>
  <r>
    <s v="ORD-1294"/>
    <s v="2024-03-19"/>
    <x v="8"/>
    <s v="Q1"/>
    <x v="2"/>
    <s v="Nevada"/>
    <x v="1"/>
    <s v="Paper"/>
    <s v="Paper"/>
    <s v="Priya Nair"/>
    <n v="14"/>
    <n v="17.579999999999998"/>
    <n v="246.12"/>
    <n v="108.34"/>
    <n v="137.78"/>
    <n v="227.7"/>
  </r>
  <r>
    <s v="ORD-1295"/>
    <s v="2024-05-09"/>
    <x v="9"/>
    <s v="Q2"/>
    <x v="2"/>
    <s v="Washington"/>
    <x v="0"/>
    <s v="Monitors"/>
    <s v="Monitors"/>
    <s v="Maria Santos"/>
    <n v="16"/>
    <n v="288.25"/>
    <n v="4612"/>
    <n v="3171.84"/>
    <n v="1440.16"/>
    <n v="4809.12"/>
  </r>
  <r>
    <s v="ORD-1296"/>
    <s v="2024-02-09"/>
    <x v="3"/>
    <s v="Q1"/>
    <x v="2"/>
    <s v="Washington"/>
    <x v="1"/>
    <s v="Pens"/>
    <s v="Pens"/>
    <s v="Maria Santos"/>
    <n v="17"/>
    <n v="12.34"/>
    <n v="209.78"/>
    <n v="66.290000000000006"/>
    <n v="143.49"/>
    <n v="251.3"/>
  </r>
  <r>
    <s v="ORD-1297"/>
    <s v="2024-07-26"/>
    <x v="6"/>
    <s v="Q3"/>
    <x v="1"/>
    <s v="Massachusetts"/>
    <x v="2"/>
    <s v="Cabinet"/>
    <s v="Cabinet"/>
    <s v="Priya Nair"/>
    <n v="19"/>
    <n v="251.89"/>
    <n v="4785.91"/>
    <n v="3040.73"/>
    <n v="1745.18"/>
    <n v="4718.59"/>
  </r>
  <r>
    <s v="ORD-1298"/>
    <s v="2024-01-11"/>
    <x v="7"/>
    <s v="Q1"/>
    <x v="3"/>
    <s v="Texas"/>
    <x v="1"/>
    <s v="Paper"/>
    <s v="Paper"/>
    <s v="Carlos Ruiz"/>
    <n v="16"/>
    <n v="19.11"/>
    <n v="305.76"/>
    <n v="128.38"/>
    <n v="177.38"/>
    <n v="341.96"/>
  </r>
  <r>
    <s v="ORD-1299"/>
    <s v="2024-03-04"/>
    <x v="8"/>
    <s v="Q1"/>
    <x v="3"/>
    <s v="Florida"/>
    <x v="1"/>
    <s v="Paper"/>
    <s v="Paper"/>
    <s v="Sarah Kim"/>
    <n v="8"/>
    <n v="18.95"/>
    <n v="151.6"/>
    <n v="64.48"/>
    <n v="87.12"/>
    <n v="181"/>
  </r>
  <r>
    <s v="ORD-1300"/>
    <s v="2024-06-27"/>
    <x v="10"/>
    <s v="Q2"/>
    <x v="3"/>
    <s v="Florida"/>
    <x v="0"/>
    <s v="Keyboards"/>
    <s v="Keyboards"/>
    <s v="Tom Kowalski"/>
    <n v="12"/>
    <n v="58.37"/>
    <n v="700.44"/>
    <n v="374.9"/>
    <n v="325.54000000000002"/>
    <n v="602.29"/>
  </r>
  <r>
    <s v="ORD-1301"/>
    <s v="2024-10-19"/>
    <x v="1"/>
    <s v="Q4"/>
    <x v="3"/>
    <s v="Florida"/>
    <x v="1"/>
    <s v="Folders"/>
    <s v="Folders"/>
    <s v="Carlos Ruiz"/>
    <n v="2"/>
    <n v="8.42"/>
    <n v="16.84"/>
    <n v="5.75"/>
    <n v="11.09"/>
    <n v="15.69"/>
  </r>
  <r>
    <s v="ORD-1302"/>
    <s v="2024-01-17"/>
    <x v="7"/>
    <s v="Q1"/>
    <x v="2"/>
    <s v="California"/>
    <x v="1"/>
    <s v="Pens"/>
    <s v="Pens"/>
    <s v="Tom Kowalski"/>
    <n v="11"/>
    <n v="12.74"/>
    <n v="140.13999999999999"/>
    <n v="44.95"/>
    <n v="95.19"/>
    <n v="164.18"/>
  </r>
  <r>
    <s v="ORD-1303"/>
    <s v="2024-01-01"/>
    <x v="7"/>
    <s v="Q1"/>
    <x v="3"/>
    <s v="Florida"/>
    <x v="0"/>
    <s v="Keyboards"/>
    <s v="Keyboards"/>
    <s v="James Liu"/>
    <n v="12"/>
    <n v="60.07"/>
    <n v="720.84"/>
    <n v="367.36"/>
    <n v="353.48"/>
    <n v="779.77"/>
  </r>
  <r>
    <s v="ORD-1304"/>
    <s v="2024-06-10"/>
    <x v="10"/>
    <s v="Q2"/>
    <x v="1"/>
    <s v="Pennsylvania"/>
    <x v="0"/>
    <s v="Headphones"/>
    <s v="Headphones"/>
    <s v="Tom Kowalski"/>
    <n v="16"/>
    <n v="100.55"/>
    <n v="1608.8"/>
    <n v="974.32"/>
    <n v="634.48"/>
    <n v="1465.57"/>
  </r>
  <r>
    <s v="ORD-1305"/>
    <s v="2024-04-22"/>
    <x v="2"/>
    <s v="Q2"/>
    <x v="3"/>
    <s v="Louisiana"/>
    <x v="1"/>
    <s v="Folders"/>
    <s v="Folders"/>
    <s v="Sarah Kim"/>
    <n v="1"/>
    <n v="8.33"/>
    <n v="8.33"/>
    <n v="3.13"/>
    <n v="5.2"/>
    <n v="9.85"/>
  </r>
  <r>
    <s v="ORD-1306"/>
    <s v="2024-10-02"/>
    <x v="1"/>
    <s v="Q4"/>
    <x v="3"/>
    <s v="Georgia"/>
    <x v="2"/>
    <s v="Chair"/>
    <s v="Chair"/>
    <s v="James Liu"/>
    <n v="4"/>
    <n v="318.66000000000003"/>
    <n v="1274.6400000000001"/>
    <n v="793.19"/>
    <n v="481.45"/>
    <n v="1146.19"/>
  </r>
  <r>
    <s v="ORD-1307"/>
    <s v="2024-04-12"/>
    <x v="2"/>
    <s v="Q2"/>
    <x v="1"/>
    <s v="Pennsylvania"/>
    <x v="2"/>
    <s v="Desk"/>
    <s v="Desk"/>
    <s v="Carlos Ruiz"/>
    <n v="11"/>
    <n v="447.02"/>
    <n v="4917.22"/>
    <n v="3063.56"/>
    <n v="1853.66"/>
    <n v="4636.07"/>
  </r>
  <r>
    <s v="ORD-1308"/>
    <s v="2024-12-03"/>
    <x v="4"/>
    <s v="Q4"/>
    <x v="1"/>
    <s v="New Jersey"/>
    <x v="0"/>
    <s v="Laptops"/>
    <s v="Laptops"/>
    <s v="Sarah Kim"/>
    <n v="15"/>
    <n v="591.26"/>
    <n v="8868.9"/>
    <n v="7981.42"/>
    <n v="887.48"/>
    <n v="10546.77"/>
  </r>
  <r>
    <s v="ORD-1309"/>
    <s v="2024-08-13"/>
    <x v="11"/>
    <s v="Q3"/>
    <x v="1"/>
    <s v="Massachusetts"/>
    <x v="0"/>
    <s v="Headphones"/>
    <s v="Headphones"/>
    <s v="Priya Nair"/>
    <n v="19"/>
    <n v="100.49"/>
    <n v="1909.31"/>
    <n v="1157.21"/>
    <n v="752.1"/>
    <n v="2082.11"/>
  </r>
  <r>
    <s v="ORD-1310"/>
    <s v="2024-08-03"/>
    <x v="11"/>
    <s v="Q3"/>
    <x v="0"/>
    <s v="Minnesota"/>
    <x v="0"/>
    <s v="Keyboards"/>
    <s v="Keyboards"/>
    <s v="Sarah Kim"/>
    <n v="4"/>
    <n v="52.37"/>
    <n v="209.48"/>
    <n v="114.89"/>
    <n v="94.59"/>
    <n v="190.53"/>
  </r>
  <r>
    <s v="ORD-1311"/>
    <s v="2024-03-24"/>
    <x v="8"/>
    <s v="Q1"/>
    <x v="0"/>
    <s v="Illinois"/>
    <x v="1"/>
    <s v="Stapler"/>
    <s v="Stapler"/>
    <s v="Sarah Kim"/>
    <n v="14"/>
    <n v="22.9"/>
    <n v="320.60000000000002"/>
    <n v="146.19"/>
    <n v="174.41"/>
    <n v="291.02"/>
  </r>
  <r>
    <s v="ORD-1312"/>
    <s v="2024-03-02"/>
    <x v="8"/>
    <s v="Q1"/>
    <x v="0"/>
    <s v="Minnesota"/>
    <x v="0"/>
    <s v="Monitors"/>
    <s v="Monitors"/>
    <s v="Aisha Brown"/>
    <n v="18"/>
    <n v="274.92"/>
    <n v="4948.5600000000004"/>
    <n v="3679.93"/>
    <n v="1268.6300000000001"/>
    <n v="5470.59"/>
  </r>
  <r>
    <s v="ORD-1313"/>
    <s v="2024-11-10"/>
    <x v="0"/>
    <s v="Q4"/>
    <x v="1"/>
    <s v="Pennsylvania"/>
    <x v="0"/>
    <s v="Laptops"/>
    <s v="Laptops"/>
    <s v="Tom Kowalski"/>
    <n v="18"/>
    <n v="636.08000000000004"/>
    <n v="11449.44"/>
    <n v="9678.1"/>
    <n v="1771.34"/>
    <n v="10347.51"/>
  </r>
  <r>
    <s v="ORD-1314"/>
    <s v="2024-01-14"/>
    <x v="7"/>
    <s v="Q1"/>
    <x v="0"/>
    <s v="Minnesota"/>
    <x v="2"/>
    <s v="Cabinet"/>
    <s v="Cabinet"/>
    <s v="James Liu"/>
    <n v="1"/>
    <n v="244.38"/>
    <n v="244.38"/>
    <n v="155.31"/>
    <n v="89.07"/>
    <n v="262.31"/>
  </r>
  <r>
    <s v="ORD-1315"/>
    <s v="2024-08-28"/>
    <x v="11"/>
    <s v="Q3"/>
    <x v="0"/>
    <s v="Minnesota"/>
    <x v="1"/>
    <s v="Stapler"/>
    <s v="Stapler"/>
    <s v="Priya Nair"/>
    <n v="9"/>
    <n v="21.95"/>
    <n v="197.55"/>
    <n v="86.32"/>
    <n v="111.23"/>
    <n v="205.54"/>
  </r>
  <r>
    <s v="ORD-1316"/>
    <s v="2024-06-13"/>
    <x v="10"/>
    <s v="Q2"/>
    <x v="1"/>
    <s v="Pennsylvania"/>
    <x v="1"/>
    <s v="Paper"/>
    <s v="Paper"/>
    <s v="Maria Santos"/>
    <n v="15"/>
    <n v="17.149999999999999"/>
    <n v="257.25"/>
    <n v="117.16"/>
    <n v="140.09"/>
    <n v="294.02999999999997"/>
  </r>
  <r>
    <s v="ORD-1317"/>
    <s v="2024-03-25"/>
    <x v="8"/>
    <s v="Q1"/>
    <x v="0"/>
    <s v="Illinois"/>
    <x v="2"/>
    <s v="Bookcase"/>
    <s v="Bookcase"/>
    <s v="Maria Santos"/>
    <n v="14"/>
    <n v="207.02"/>
    <n v="2898.28"/>
    <n v="1759.08"/>
    <n v="1139.2"/>
    <n v="3061.76"/>
  </r>
  <r>
    <s v="ORD-1318"/>
    <s v="2024-07-27"/>
    <x v="6"/>
    <s v="Q3"/>
    <x v="2"/>
    <s v="Nevada"/>
    <x v="2"/>
    <s v="Chair"/>
    <s v="Chair"/>
    <s v="Maria Santos"/>
    <n v="3"/>
    <n v="308.52999999999997"/>
    <n v="925.59"/>
    <n v="564"/>
    <n v="361.59"/>
    <n v="1063.3900000000001"/>
  </r>
  <r>
    <s v="ORD-1319"/>
    <s v="2024-09-19"/>
    <x v="5"/>
    <s v="Q3"/>
    <x v="3"/>
    <s v="Texas"/>
    <x v="1"/>
    <s v="Pens"/>
    <s v="Pens"/>
    <s v="Priya Nair"/>
    <n v="6"/>
    <n v="13.08"/>
    <n v="78.48"/>
    <n v="25.13"/>
    <n v="53.35"/>
    <n v="88.91"/>
  </r>
  <r>
    <s v="ORD-1320"/>
    <s v="2024-01-14"/>
    <x v="7"/>
    <s v="Q1"/>
    <x v="0"/>
    <s v="Michigan"/>
    <x v="0"/>
    <s v="Monitors"/>
    <s v="Monitors"/>
    <s v="James Liu"/>
    <n v="9"/>
    <n v="298.70999999999998"/>
    <n v="2688.39"/>
    <n v="1767.55"/>
    <n v="920.84"/>
    <n v="2969.29"/>
  </r>
  <r>
    <s v="ORD-1321"/>
    <s v="2024-02-13"/>
    <x v="3"/>
    <s v="Q1"/>
    <x v="2"/>
    <s v="Oregon"/>
    <x v="1"/>
    <s v="Stapler"/>
    <s v="Stapler"/>
    <s v="Sarah Kim"/>
    <n v="1"/>
    <n v="23.84"/>
    <n v="23.84"/>
    <n v="10.29"/>
    <n v="13.55"/>
    <n v="25.46"/>
  </r>
  <r>
    <s v="ORD-1322"/>
    <s v="2024-02-14"/>
    <x v="3"/>
    <s v="Q1"/>
    <x v="3"/>
    <s v="Florida"/>
    <x v="2"/>
    <s v="Desk"/>
    <s v="Desk"/>
    <s v="Tom Kowalski"/>
    <n v="19"/>
    <n v="455.69"/>
    <n v="8658.11"/>
    <n v="5468.72"/>
    <n v="3189.39"/>
    <n v="9740.4699999999993"/>
  </r>
  <r>
    <s v="ORD-1323"/>
    <s v="2024-07-09"/>
    <x v="6"/>
    <s v="Q3"/>
    <x v="2"/>
    <s v="Nevada"/>
    <x v="2"/>
    <s v="Cabinet"/>
    <s v="Cabinet"/>
    <s v="Sarah Kim"/>
    <n v="9"/>
    <n v="235.95"/>
    <n v="2123.5500000000002"/>
    <n v="1426.03"/>
    <n v="697.52"/>
    <n v="2264.52"/>
  </r>
  <r>
    <s v="ORD-1324"/>
    <s v="2024-01-13"/>
    <x v="7"/>
    <s v="Q1"/>
    <x v="1"/>
    <s v="Pennsylvania"/>
    <x v="0"/>
    <s v="Headphones"/>
    <s v="Headphones"/>
    <s v="Aisha Brown"/>
    <n v="12"/>
    <n v="103"/>
    <n v="1236"/>
    <n v="685.46"/>
    <n v="550.54"/>
    <n v="1404.2"/>
  </r>
  <r>
    <s v="ORD-1325"/>
    <s v="2024-05-09"/>
    <x v="9"/>
    <s v="Q2"/>
    <x v="2"/>
    <s v="California"/>
    <x v="0"/>
    <s v="Monitors"/>
    <s v="Monitors"/>
    <s v="Sarah Kim"/>
    <n v="15"/>
    <n v="268.83"/>
    <n v="4032.45"/>
    <n v="3082.21"/>
    <n v="950.24"/>
    <n v="3880.44"/>
  </r>
  <r>
    <s v="ORD-1326"/>
    <s v="2024-10-21"/>
    <x v="1"/>
    <s v="Q4"/>
    <x v="0"/>
    <s v="Wisconsin"/>
    <x v="1"/>
    <s v="Pens"/>
    <s v="Pens"/>
    <s v="Tom Kowalski"/>
    <n v="14"/>
    <n v="12.99"/>
    <n v="181.86"/>
    <n v="57.35"/>
    <n v="124.51"/>
    <n v="202.92"/>
  </r>
  <r>
    <s v="ORD-1327"/>
    <s v="2024-01-17"/>
    <x v="7"/>
    <s v="Q1"/>
    <x v="3"/>
    <s v="Texas"/>
    <x v="1"/>
    <s v="Stapler"/>
    <s v="Stapler"/>
    <s v="Carlos Ruiz"/>
    <n v="17"/>
    <n v="20.399999999999999"/>
    <n v="346.8"/>
    <n v="176.45"/>
    <n v="170.35"/>
    <n v="298.29000000000002"/>
  </r>
  <r>
    <s v="ORD-1328"/>
    <s v="2024-04-27"/>
    <x v="2"/>
    <s v="Q2"/>
    <x v="0"/>
    <s v="Wisconsin"/>
    <x v="0"/>
    <s v="Headphones"/>
    <s v="Headphones"/>
    <s v="Derek Thompson"/>
    <n v="12"/>
    <n v="86.46"/>
    <n v="1037.52"/>
    <n v="734.73"/>
    <n v="302.79000000000002"/>
    <n v="981.38"/>
  </r>
  <r>
    <s v="ORD-1329"/>
    <s v="2024-09-13"/>
    <x v="5"/>
    <s v="Q3"/>
    <x v="0"/>
    <s v="Illinois"/>
    <x v="0"/>
    <s v="Keyboards"/>
    <s v="Keyboards"/>
    <s v="Tom Kowalski"/>
    <n v="15"/>
    <n v="54.88"/>
    <n v="823.2"/>
    <n v="435.49"/>
    <n v="387.71"/>
    <n v="950.52"/>
  </r>
  <r>
    <s v="ORD-1330"/>
    <s v="2024-06-06"/>
    <x v="10"/>
    <s v="Q2"/>
    <x v="1"/>
    <s v="New York"/>
    <x v="1"/>
    <s v="Paper"/>
    <s v="Paper"/>
    <s v="Carlos Ruiz"/>
    <n v="6"/>
    <n v="17.59"/>
    <n v="105.54"/>
    <n v="49.7"/>
    <n v="55.84"/>
    <n v="118.52"/>
  </r>
  <r>
    <s v="ORD-1331"/>
    <s v="2024-04-21"/>
    <x v="2"/>
    <s v="Q2"/>
    <x v="3"/>
    <s v="Florida"/>
    <x v="1"/>
    <s v="Stapler"/>
    <s v="Stapler"/>
    <s v="Priya Nair"/>
    <n v="1"/>
    <n v="22.06"/>
    <n v="22.06"/>
    <n v="9.9700000000000006"/>
    <n v="12.09"/>
    <n v="19.77"/>
  </r>
  <r>
    <s v="ORD-1332"/>
    <s v="2024-10-26"/>
    <x v="1"/>
    <s v="Q4"/>
    <x v="0"/>
    <s v="Wisconsin"/>
    <x v="1"/>
    <s v="Folders"/>
    <s v="Folders"/>
    <s v="Tom Kowalski"/>
    <n v="9"/>
    <n v="9.3800000000000008"/>
    <n v="84.42"/>
    <n v="26.79"/>
    <n v="57.63"/>
    <n v="82.88"/>
  </r>
  <r>
    <s v="ORD-1333"/>
    <s v="2024-08-09"/>
    <x v="11"/>
    <s v="Q3"/>
    <x v="3"/>
    <s v="Louisiana"/>
    <x v="1"/>
    <s v="Stapler"/>
    <s v="Stapler"/>
    <s v="Tom Kowalski"/>
    <n v="1"/>
    <n v="22.37"/>
    <n v="22.37"/>
    <n v="10.01"/>
    <n v="12.36"/>
    <n v="24.2"/>
  </r>
  <r>
    <s v="ORD-1334"/>
    <s v="2024-09-21"/>
    <x v="5"/>
    <s v="Q3"/>
    <x v="1"/>
    <s v="New Jersey"/>
    <x v="2"/>
    <s v="Desk"/>
    <s v="Desk"/>
    <s v="Aisha Brown"/>
    <n v="11"/>
    <n v="418.47"/>
    <n v="4603.17"/>
    <n v="3230.42"/>
    <n v="1372.75"/>
    <n v="4944.76"/>
  </r>
  <r>
    <s v="ORD-1335"/>
    <s v="2024-05-21"/>
    <x v="9"/>
    <s v="Q2"/>
    <x v="1"/>
    <s v="Pennsylvania"/>
    <x v="0"/>
    <s v="Monitors"/>
    <s v="Monitors"/>
    <s v="Priya Nair"/>
    <n v="20"/>
    <n v="302.38"/>
    <n v="6047.6"/>
    <n v="3961.64"/>
    <n v="2085.96"/>
    <n v="5816.91"/>
  </r>
  <r>
    <s v="ORD-1336"/>
    <s v="2024-12-01"/>
    <x v="4"/>
    <s v="Q4"/>
    <x v="2"/>
    <s v="Oregon"/>
    <x v="1"/>
    <s v="Stapler"/>
    <s v="Stapler"/>
    <s v="Carlos Ruiz"/>
    <n v="2"/>
    <n v="21.58"/>
    <n v="43.16"/>
    <n v="20.170000000000002"/>
    <n v="22.99"/>
    <n v="51.71"/>
  </r>
  <r>
    <s v="ORD-1337"/>
    <s v="2024-06-24"/>
    <x v="10"/>
    <s v="Q2"/>
    <x v="3"/>
    <s v="Louisiana"/>
    <x v="2"/>
    <s v="Bookcase"/>
    <s v="Bookcase"/>
    <s v="Priya Nair"/>
    <n v="6"/>
    <n v="195.29"/>
    <n v="1171.74"/>
    <n v="744.53"/>
    <n v="427.21"/>
    <n v="1355.44"/>
  </r>
  <r>
    <s v="ORD-1338"/>
    <s v="2024-05-04"/>
    <x v="9"/>
    <s v="Q2"/>
    <x v="2"/>
    <s v="Washington"/>
    <x v="2"/>
    <s v="Bookcase"/>
    <s v="Bookcase"/>
    <s v="Tom Kowalski"/>
    <n v="18"/>
    <n v="203.78"/>
    <n v="3668.04"/>
    <n v="2216.79"/>
    <n v="1451.25"/>
    <n v="3352.86"/>
  </r>
  <r>
    <s v="ORD-1339"/>
    <s v="2024-11-03"/>
    <x v="0"/>
    <s v="Q4"/>
    <x v="3"/>
    <s v="Georgia"/>
    <x v="0"/>
    <s v="Keyboards"/>
    <s v="Keyboards"/>
    <s v="Derek Thompson"/>
    <n v="11"/>
    <n v="54.13"/>
    <n v="595.42999999999995"/>
    <n v="325.77"/>
    <n v="269.66000000000003"/>
    <n v="628.15"/>
  </r>
  <r>
    <s v="ORD-1340"/>
    <s v="2024-02-16"/>
    <x v="3"/>
    <s v="Q1"/>
    <x v="0"/>
    <s v="Illinois"/>
    <x v="1"/>
    <s v="Pens"/>
    <s v="Pens"/>
    <s v="Priya Nair"/>
    <n v="13"/>
    <n v="12"/>
    <n v="156"/>
    <n v="52.16"/>
    <n v="103.84"/>
    <n v="155.16"/>
  </r>
  <r>
    <s v="ORD-1341"/>
    <s v="2024-03-07"/>
    <x v="8"/>
    <s v="Q1"/>
    <x v="1"/>
    <s v="Massachusetts"/>
    <x v="2"/>
    <s v="Cabinet"/>
    <s v="Cabinet"/>
    <s v="Priya Nair"/>
    <n v="6"/>
    <n v="241.45"/>
    <n v="1448.7"/>
    <n v="986.78"/>
    <n v="461.92"/>
    <n v="1478.62"/>
  </r>
  <r>
    <s v="ORD-1342"/>
    <s v="2024-06-21"/>
    <x v="10"/>
    <s v="Q2"/>
    <x v="0"/>
    <s v="Illinois"/>
    <x v="1"/>
    <s v="Folders"/>
    <s v="Folders"/>
    <s v="James Liu"/>
    <n v="6"/>
    <n v="8.48"/>
    <n v="50.88"/>
    <n v="18.14"/>
    <n v="32.74"/>
    <n v="46.07"/>
  </r>
  <r>
    <s v="ORD-1343"/>
    <s v="2024-03-20"/>
    <x v="8"/>
    <s v="Q1"/>
    <x v="2"/>
    <s v="Nevada"/>
    <x v="1"/>
    <s v="Stapler"/>
    <s v="Stapler"/>
    <s v="Tom Kowalski"/>
    <n v="13"/>
    <n v="24.05"/>
    <n v="312.64999999999998"/>
    <n v="123.56"/>
    <n v="189.09"/>
    <n v="324.16000000000003"/>
  </r>
  <r>
    <s v="ORD-1344"/>
    <s v="2024-01-11"/>
    <x v="7"/>
    <s v="Q1"/>
    <x v="3"/>
    <s v="Texas"/>
    <x v="2"/>
    <s v="Desk"/>
    <s v="Desk"/>
    <s v="Aisha Brown"/>
    <n v="8"/>
    <n v="430.64"/>
    <n v="3445.12"/>
    <n v="2178.6799999999998"/>
    <n v="1266.44"/>
    <n v="3985.81"/>
  </r>
  <r>
    <s v="ORD-1345"/>
    <s v="2024-03-04"/>
    <x v="8"/>
    <s v="Q1"/>
    <x v="2"/>
    <s v="Oregon"/>
    <x v="0"/>
    <s v="Laptops"/>
    <s v="Laptops"/>
    <s v="Tom Kowalski"/>
    <n v="10"/>
    <n v="692.1"/>
    <n v="6921"/>
    <n v="5433.2"/>
    <n v="1487.8"/>
    <n v="6987.26"/>
  </r>
  <r>
    <s v="ORD-1346"/>
    <s v="2024-07-22"/>
    <x v="6"/>
    <s v="Q3"/>
    <x v="3"/>
    <s v="Georgia"/>
    <x v="1"/>
    <s v="Folders"/>
    <s v="Folders"/>
    <s v="Sarah Kim"/>
    <n v="6"/>
    <n v="9.4499999999999993"/>
    <n v="56.7"/>
    <n v="18.809999999999999"/>
    <n v="37.89"/>
    <n v="66.42"/>
  </r>
  <r>
    <s v="ORD-1347"/>
    <s v="2024-01-08"/>
    <x v="7"/>
    <s v="Q1"/>
    <x v="3"/>
    <s v="Florida"/>
    <x v="0"/>
    <s v="Laptops"/>
    <s v="Laptops"/>
    <s v="Maria Santos"/>
    <n v="6"/>
    <n v="661.66"/>
    <n v="3969.96"/>
    <n v="3002.43"/>
    <n v="967.53"/>
    <n v="4362.54"/>
  </r>
  <r>
    <s v="ORD-1348"/>
    <s v="2024-07-21"/>
    <x v="6"/>
    <s v="Q3"/>
    <x v="1"/>
    <s v="New York"/>
    <x v="2"/>
    <s v="Desk"/>
    <s v="Desk"/>
    <s v="Derek Thompson"/>
    <n v="1"/>
    <n v="433.61"/>
    <n v="433.61"/>
    <n v="267.35000000000002"/>
    <n v="166.26"/>
    <n v="386.14"/>
  </r>
  <r>
    <s v="ORD-1349"/>
    <s v="2024-07-04"/>
    <x v="6"/>
    <s v="Q3"/>
    <x v="1"/>
    <s v="Massachusetts"/>
    <x v="2"/>
    <s v="Chair"/>
    <s v="Chair"/>
    <s v="Aisha Brown"/>
    <n v="1"/>
    <n v="291.74"/>
    <n v="291.74"/>
    <n v="186.22"/>
    <n v="105.52"/>
    <n v="315.54000000000002"/>
  </r>
  <r>
    <s v="ORD-1350"/>
    <s v="2024-10-20"/>
    <x v="1"/>
    <s v="Q4"/>
    <x v="3"/>
    <s v="Louisiana"/>
    <x v="0"/>
    <s v="Laptops"/>
    <s v="Laptops"/>
    <s v="Aisha Brown"/>
    <n v="4"/>
    <n v="621.75"/>
    <n v="2487"/>
    <n v="2079.5300000000002"/>
    <n v="407.47"/>
    <n v="2644.06"/>
  </r>
  <r>
    <s v="ORD-1351"/>
    <s v="2024-09-07"/>
    <x v="5"/>
    <s v="Q3"/>
    <x v="1"/>
    <s v="Massachusetts"/>
    <x v="1"/>
    <s v="Pens"/>
    <s v="Pens"/>
    <s v="Derek Thompson"/>
    <n v="16"/>
    <n v="10.89"/>
    <n v="174.24"/>
    <n v="66.63"/>
    <n v="107.61"/>
    <n v="190.07"/>
  </r>
  <r>
    <s v="ORD-1352"/>
    <s v="2024-06-08"/>
    <x v="10"/>
    <s v="Q2"/>
    <x v="0"/>
    <s v="Illinois"/>
    <x v="2"/>
    <s v="Desk"/>
    <s v="Desk"/>
    <s v="James Liu"/>
    <n v="19"/>
    <n v="454.18"/>
    <n v="8629.42"/>
    <n v="5409.92"/>
    <n v="3219.5"/>
    <n v="7785.47"/>
  </r>
  <r>
    <s v="ORD-1353"/>
    <s v="2024-09-03"/>
    <x v="5"/>
    <s v="Q3"/>
    <x v="0"/>
    <s v="Minnesota"/>
    <x v="2"/>
    <s v="Chair"/>
    <s v="Chair"/>
    <s v="Priya Nair"/>
    <n v="10"/>
    <n v="307.32"/>
    <n v="3073.2"/>
    <n v="1855.18"/>
    <n v="1218.02"/>
    <n v="2666.09"/>
  </r>
  <r>
    <s v="ORD-1354"/>
    <s v="2024-01-28"/>
    <x v="7"/>
    <s v="Q1"/>
    <x v="1"/>
    <s v="New Jersey"/>
    <x v="2"/>
    <s v="Bookcase"/>
    <s v="Bookcase"/>
    <s v="Maria Santos"/>
    <n v="4"/>
    <n v="192.11"/>
    <n v="768.44"/>
    <n v="460.56"/>
    <n v="307.88"/>
    <n v="857.1"/>
  </r>
  <r>
    <s v="ORD-1355"/>
    <s v="2024-01-28"/>
    <x v="7"/>
    <s v="Q1"/>
    <x v="3"/>
    <s v="Florida"/>
    <x v="1"/>
    <s v="Folders"/>
    <s v="Folders"/>
    <s v="Tom Kowalski"/>
    <n v="20"/>
    <n v="9.7100000000000009"/>
    <n v="194.2"/>
    <n v="58.61"/>
    <n v="135.59"/>
    <n v="214.9"/>
  </r>
  <r>
    <s v="ORD-1356"/>
    <s v="2024-06-06"/>
    <x v="10"/>
    <s v="Q2"/>
    <x v="0"/>
    <s v="Michigan"/>
    <x v="1"/>
    <s v="Stapler"/>
    <s v="Stapler"/>
    <s v="Sarah Kim"/>
    <n v="13"/>
    <n v="21"/>
    <n v="273"/>
    <n v="132.47"/>
    <n v="140.53"/>
    <n v="277.75"/>
  </r>
  <r>
    <s v="ORD-1357"/>
    <s v="2024-11-26"/>
    <x v="0"/>
    <s v="Q4"/>
    <x v="3"/>
    <s v="Texas"/>
    <x v="0"/>
    <s v="Laptops"/>
    <s v="Laptops"/>
    <s v="Derek Thompson"/>
    <n v="6"/>
    <n v="712.6"/>
    <n v="4275.6000000000004"/>
    <n v="2996.36"/>
    <n v="1279.24"/>
    <n v="4997.87"/>
  </r>
  <r>
    <s v="ORD-1358"/>
    <s v="2024-10-22"/>
    <x v="1"/>
    <s v="Q4"/>
    <x v="2"/>
    <s v="Washington"/>
    <x v="2"/>
    <s v="Cabinet"/>
    <s v="Cabinet"/>
    <s v="Priya Nair"/>
    <n v="20"/>
    <n v="274.52"/>
    <n v="5490.4"/>
    <n v="3049.22"/>
    <n v="2441.1799999999998"/>
    <n v="5982.13"/>
  </r>
  <r>
    <s v="ORD-1359"/>
    <s v="2024-08-16"/>
    <x v="11"/>
    <s v="Q3"/>
    <x v="0"/>
    <s v="Michigan"/>
    <x v="1"/>
    <s v="Paper"/>
    <s v="Paper"/>
    <s v="Carlos Ruiz"/>
    <n v="11"/>
    <n v="16.43"/>
    <n v="180.73"/>
    <n v="83.71"/>
    <n v="97.02"/>
    <n v="208.55"/>
  </r>
  <r>
    <s v="ORD-1360"/>
    <s v="2024-11-28"/>
    <x v="0"/>
    <s v="Q4"/>
    <x v="1"/>
    <s v="New York"/>
    <x v="1"/>
    <s v="Pens"/>
    <s v="Pens"/>
    <s v="Maria Santos"/>
    <n v="13"/>
    <n v="11.96"/>
    <n v="155.47999999999999"/>
    <n v="50.17"/>
    <n v="105.31"/>
    <n v="177.13"/>
  </r>
  <r>
    <s v="ORD-1361"/>
    <s v="2024-01-21"/>
    <x v="7"/>
    <s v="Q1"/>
    <x v="3"/>
    <s v="Louisiana"/>
    <x v="1"/>
    <s v="Pens"/>
    <s v="Pens"/>
    <s v="Aisha Brown"/>
    <n v="16"/>
    <n v="10.98"/>
    <n v="175.68"/>
    <n v="62.85"/>
    <n v="112.83"/>
    <n v="169.67"/>
  </r>
  <r>
    <s v="ORD-1362"/>
    <s v="2024-01-17"/>
    <x v="7"/>
    <s v="Q1"/>
    <x v="3"/>
    <s v="Louisiana"/>
    <x v="1"/>
    <s v="Pens"/>
    <s v="Pens"/>
    <s v="Derek Thompson"/>
    <n v="15"/>
    <n v="10.99"/>
    <n v="164.85"/>
    <n v="61.81"/>
    <n v="103.04"/>
    <n v="165.98"/>
  </r>
  <r>
    <s v="ORD-1363"/>
    <s v="2024-08-11"/>
    <x v="11"/>
    <s v="Q3"/>
    <x v="0"/>
    <s v="Michigan"/>
    <x v="2"/>
    <s v="Desk"/>
    <s v="Desk"/>
    <s v="James Liu"/>
    <n v="14"/>
    <n v="386.62"/>
    <n v="5412.68"/>
    <n v="3738.05"/>
    <n v="1674.63"/>
    <n v="5641.01"/>
  </r>
  <r>
    <s v="ORD-1364"/>
    <s v="2024-10-20"/>
    <x v="1"/>
    <s v="Q4"/>
    <x v="1"/>
    <s v="Pennsylvania"/>
    <x v="2"/>
    <s v="Cabinet"/>
    <s v="Cabinet"/>
    <s v="Derek Thompson"/>
    <n v="12"/>
    <n v="283.42"/>
    <n v="3401.04"/>
    <n v="1982.46"/>
    <n v="1418.58"/>
    <n v="3862.92"/>
  </r>
  <r>
    <s v="ORD-1365"/>
    <s v="2024-06-18"/>
    <x v="10"/>
    <s v="Q2"/>
    <x v="2"/>
    <s v="Oregon"/>
    <x v="2"/>
    <s v="Cabinet"/>
    <s v="Cabinet"/>
    <s v="Aisha Brown"/>
    <n v="8"/>
    <n v="239.93"/>
    <n v="1919.44"/>
    <n v="1216.28"/>
    <n v="703.16"/>
    <n v="1870.11"/>
  </r>
  <r>
    <s v="ORD-1366"/>
    <s v="2024-09-17"/>
    <x v="5"/>
    <s v="Q3"/>
    <x v="1"/>
    <s v="New York"/>
    <x v="0"/>
    <s v="Monitors"/>
    <s v="Monitors"/>
    <s v="Carlos Ruiz"/>
    <n v="14"/>
    <n v="279.58"/>
    <n v="3914.12"/>
    <n v="2689.95"/>
    <n v="1224.17"/>
    <n v="4163.83"/>
  </r>
  <r>
    <s v="ORD-1367"/>
    <s v="2024-02-28"/>
    <x v="3"/>
    <s v="Q1"/>
    <x v="2"/>
    <s v="Washington"/>
    <x v="1"/>
    <s v="Pens"/>
    <s v="Pens"/>
    <s v="James Liu"/>
    <n v="4"/>
    <n v="12.52"/>
    <n v="50.08"/>
    <n v="16.41"/>
    <n v="33.67"/>
    <n v="43.38"/>
  </r>
  <r>
    <s v="ORD-1368"/>
    <s v="2024-08-15"/>
    <x v="11"/>
    <s v="Q3"/>
    <x v="3"/>
    <s v="Louisiana"/>
    <x v="0"/>
    <s v="Laptops"/>
    <s v="Laptops"/>
    <s v="Priya Nair"/>
    <n v="14"/>
    <n v="656.92"/>
    <n v="9196.8799999999992"/>
    <n v="7526.66"/>
    <n v="1670.22"/>
    <n v="9371.86"/>
  </r>
  <r>
    <s v="ORD-1369"/>
    <s v="2024-12-19"/>
    <x v="4"/>
    <s v="Q4"/>
    <x v="3"/>
    <s v="Florida"/>
    <x v="0"/>
    <s v="Headphones"/>
    <s v="Headphones"/>
    <s v="Sarah Kim"/>
    <n v="20"/>
    <n v="97.99"/>
    <n v="1959.8"/>
    <n v="1245.92"/>
    <n v="713.88"/>
    <n v="2011.61"/>
  </r>
  <r>
    <s v="ORD-1370"/>
    <s v="2024-07-20"/>
    <x v="6"/>
    <s v="Q3"/>
    <x v="3"/>
    <s v="Georgia"/>
    <x v="1"/>
    <s v="Folders"/>
    <s v="Folders"/>
    <s v="Aisha Brown"/>
    <n v="15"/>
    <n v="9.85"/>
    <n v="147.75"/>
    <n v="46.37"/>
    <n v="101.38"/>
    <n v="132.72999999999999"/>
  </r>
  <r>
    <s v="ORD-1371"/>
    <s v="2024-12-18"/>
    <x v="4"/>
    <s v="Q4"/>
    <x v="1"/>
    <s v="Pennsylvania"/>
    <x v="0"/>
    <s v="Monitors"/>
    <s v="Monitors"/>
    <s v="Priya Nair"/>
    <n v="10"/>
    <n v="286.95"/>
    <n v="2869.5"/>
    <n v="2037.32"/>
    <n v="832.18"/>
    <n v="3364.25"/>
  </r>
  <r>
    <s v="ORD-1372"/>
    <s v="2024-12-21"/>
    <x v="4"/>
    <s v="Q4"/>
    <x v="3"/>
    <s v="Georgia"/>
    <x v="2"/>
    <s v="Desk"/>
    <s v="Desk"/>
    <s v="Sarah Kim"/>
    <n v="18"/>
    <n v="441.91"/>
    <n v="7954.38"/>
    <n v="5030.1099999999997"/>
    <n v="2924.27"/>
    <n v="8349.9"/>
  </r>
  <r>
    <s v="ORD-1373"/>
    <s v="2024-11-24"/>
    <x v="0"/>
    <s v="Q4"/>
    <x v="1"/>
    <s v="Massachusetts"/>
    <x v="0"/>
    <s v="Laptops"/>
    <s v="Laptops"/>
    <s v="Aisha Brown"/>
    <n v="5"/>
    <n v="588.29"/>
    <n v="2941.45"/>
    <n v="2483.8000000000002"/>
    <n v="457.65"/>
    <n v="2558.5100000000002"/>
  </r>
  <r>
    <s v="ORD-1374"/>
    <s v="2024-03-10"/>
    <x v="8"/>
    <s v="Q1"/>
    <x v="1"/>
    <s v="Pennsylvania"/>
    <x v="0"/>
    <s v="Keyboards"/>
    <s v="Keyboards"/>
    <s v="James Liu"/>
    <n v="18"/>
    <n v="51.74"/>
    <n v="931.32"/>
    <n v="514.74"/>
    <n v="416.58"/>
    <n v="1056.96"/>
  </r>
  <r>
    <s v="ORD-1375"/>
    <s v="2024-10-28"/>
    <x v="1"/>
    <s v="Q4"/>
    <x v="3"/>
    <s v="Louisiana"/>
    <x v="0"/>
    <s v="Keyboards"/>
    <s v="Keyboards"/>
    <s v="Tom Kowalski"/>
    <n v="2"/>
    <n v="57.12"/>
    <n v="114.24"/>
    <n v="62.56"/>
    <n v="51.68"/>
    <n v="112.6"/>
  </r>
  <r>
    <s v="ORD-1376"/>
    <s v="2024-09-02"/>
    <x v="5"/>
    <s v="Q3"/>
    <x v="0"/>
    <s v="Minnesota"/>
    <x v="0"/>
    <s v="Headphones"/>
    <s v="Headphones"/>
    <s v="Carlos Ruiz"/>
    <n v="12"/>
    <n v="101.27"/>
    <n v="1215.24"/>
    <n v="738.37"/>
    <n v="476.87"/>
    <n v="1265.45"/>
  </r>
  <r>
    <s v="ORD-1377"/>
    <s v="2024-12-07"/>
    <x v="4"/>
    <s v="Q4"/>
    <x v="1"/>
    <s v="Massachusetts"/>
    <x v="0"/>
    <s v="Laptops"/>
    <s v="Laptops"/>
    <s v="Maria Santos"/>
    <n v="6"/>
    <n v="609.30999999999995"/>
    <n v="3655.86"/>
    <n v="3193.34"/>
    <n v="462.52"/>
    <n v="3260.2"/>
  </r>
  <r>
    <s v="ORD-1378"/>
    <s v="2024-07-09"/>
    <x v="6"/>
    <s v="Q3"/>
    <x v="1"/>
    <s v="Pennsylvania"/>
    <x v="0"/>
    <s v="Keyboards"/>
    <s v="Keyboards"/>
    <s v="Priya Nair"/>
    <n v="15"/>
    <n v="49.56"/>
    <n v="743.4"/>
    <n v="459.44"/>
    <n v="283.95999999999998"/>
    <n v="672.17"/>
  </r>
  <r>
    <s v="ORD-1379"/>
    <s v="2024-06-20"/>
    <x v="10"/>
    <s v="Q2"/>
    <x v="0"/>
    <s v="Minnesota"/>
    <x v="1"/>
    <s v="Folders"/>
    <s v="Folders"/>
    <s v="James Liu"/>
    <n v="11"/>
    <n v="8.23"/>
    <n v="90.53"/>
    <n v="33.08"/>
    <n v="57.45"/>
    <n v="107.27"/>
  </r>
  <r>
    <s v="ORD-1380"/>
    <s v="2024-09-06"/>
    <x v="5"/>
    <s v="Q3"/>
    <x v="2"/>
    <s v="Nevada"/>
    <x v="0"/>
    <s v="Keyboards"/>
    <s v="Keyboards"/>
    <s v="Aisha Brown"/>
    <n v="7"/>
    <n v="51.93"/>
    <n v="363.51"/>
    <n v="213.43"/>
    <n v="150.08000000000001"/>
    <n v="351.1"/>
  </r>
  <r>
    <s v="ORD-1381"/>
    <s v="2024-04-25"/>
    <x v="2"/>
    <s v="Q2"/>
    <x v="2"/>
    <s v="California"/>
    <x v="0"/>
    <s v="Keyboards"/>
    <s v="Keyboards"/>
    <s v="Maria Santos"/>
    <n v="20"/>
    <n v="54.4"/>
    <n v="1088"/>
    <n v="625.12"/>
    <n v="462.88"/>
    <n v="1017.65"/>
  </r>
  <r>
    <s v="ORD-1382"/>
    <s v="2024-11-11"/>
    <x v="0"/>
    <s v="Q4"/>
    <x v="2"/>
    <s v="California"/>
    <x v="1"/>
    <s v="Folders"/>
    <s v="Folders"/>
    <s v="Tom Kowalski"/>
    <n v="10"/>
    <n v="9.07"/>
    <n v="90.7"/>
    <n v="28.57"/>
    <n v="62.13"/>
    <n v="93.5"/>
  </r>
  <r>
    <s v="ORD-1383"/>
    <s v="2024-09-26"/>
    <x v="5"/>
    <s v="Q3"/>
    <x v="2"/>
    <s v="Nevada"/>
    <x v="0"/>
    <s v="Keyboards"/>
    <s v="Keyboards"/>
    <s v="James Liu"/>
    <n v="7"/>
    <n v="59.38"/>
    <n v="415.66"/>
    <n v="206.23"/>
    <n v="209.43"/>
    <n v="365.29"/>
  </r>
  <r>
    <s v="ORD-1384"/>
    <s v="2024-03-25"/>
    <x v="8"/>
    <s v="Q1"/>
    <x v="0"/>
    <s v="Illinois"/>
    <x v="0"/>
    <s v="Monitors"/>
    <s v="Monitors"/>
    <s v="Sarah Kim"/>
    <n v="14"/>
    <n v="300.44"/>
    <n v="4206.16"/>
    <n v="2893.99"/>
    <n v="1312.17"/>
    <n v="3877.88"/>
  </r>
  <r>
    <s v="ORD-1385"/>
    <s v="2024-11-27"/>
    <x v="0"/>
    <s v="Q4"/>
    <x v="0"/>
    <s v="Wisconsin"/>
    <x v="0"/>
    <s v="Headphones"/>
    <s v="Headphones"/>
    <s v="Aisha Brown"/>
    <n v="2"/>
    <n v="99.12"/>
    <n v="198.24"/>
    <n v="115.05"/>
    <n v="83.19"/>
    <n v="172.27"/>
  </r>
  <r>
    <s v="ORD-1386"/>
    <s v="2024-09-03"/>
    <x v="5"/>
    <s v="Q3"/>
    <x v="3"/>
    <s v="Georgia"/>
    <x v="1"/>
    <s v="Stapler"/>
    <s v="Stapler"/>
    <s v="James Liu"/>
    <n v="13"/>
    <n v="21.78"/>
    <n v="283.14"/>
    <n v="129.13"/>
    <n v="154.01"/>
    <n v="242.34"/>
  </r>
  <r>
    <s v="ORD-1387"/>
    <s v="2024-09-01"/>
    <x v="5"/>
    <s v="Q3"/>
    <x v="0"/>
    <s v="Illinois"/>
    <x v="2"/>
    <s v="Desk"/>
    <s v="Desk"/>
    <s v="Aisha Brown"/>
    <n v="17"/>
    <n v="408.05"/>
    <n v="6936.85"/>
    <n v="4572.5200000000004"/>
    <n v="2364.33"/>
    <n v="7806.82"/>
  </r>
  <r>
    <s v="ORD-1388"/>
    <s v="2024-10-03"/>
    <x v="1"/>
    <s v="Q4"/>
    <x v="1"/>
    <s v="Massachusetts"/>
    <x v="1"/>
    <s v="Stapler"/>
    <s v="Stapler"/>
    <s v="Priya Nair"/>
    <n v="1"/>
    <n v="23.42"/>
    <n v="23.42"/>
    <n v="9.9700000000000006"/>
    <n v="13.45"/>
    <n v="24.28"/>
  </r>
  <r>
    <s v="ORD-1389"/>
    <s v="2024-12-13"/>
    <x v="4"/>
    <s v="Q4"/>
    <x v="1"/>
    <s v="Pennsylvania"/>
    <x v="1"/>
    <s v="Folders"/>
    <s v="Folders"/>
    <s v="James Liu"/>
    <n v="1"/>
    <n v="9.82"/>
    <n v="9.82"/>
    <n v="3.02"/>
    <n v="6.8"/>
    <n v="10.25"/>
  </r>
  <r>
    <s v="ORD-1390"/>
    <s v="2024-01-01"/>
    <x v="7"/>
    <s v="Q1"/>
    <x v="2"/>
    <s v="California"/>
    <x v="1"/>
    <s v="Pens"/>
    <s v="Pens"/>
    <s v="Priya Nair"/>
    <n v="12"/>
    <n v="12.6"/>
    <n v="151.19999999999999"/>
    <n v="46.62"/>
    <n v="104.58"/>
    <n v="176.45"/>
  </r>
  <r>
    <s v="ORD-1391"/>
    <s v="2024-03-06"/>
    <x v="8"/>
    <s v="Q1"/>
    <x v="3"/>
    <s v="Georgia"/>
    <x v="0"/>
    <s v="Laptops"/>
    <s v="Laptops"/>
    <s v="Derek Thompson"/>
    <n v="19"/>
    <n v="608.58000000000004"/>
    <n v="11563.02"/>
    <n v="10228.02"/>
    <n v="1335"/>
    <n v="13274.18"/>
  </r>
  <r>
    <s v="ORD-1392"/>
    <s v="2024-11-18"/>
    <x v="0"/>
    <s v="Q4"/>
    <x v="0"/>
    <s v="Minnesota"/>
    <x v="2"/>
    <s v="Desk"/>
    <s v="Desk"/>
    <s v="Tom Kowalski"/>
    <n v="7"/>
    <n v="399.06"/>
    <n v="2793.42"/>
    <n v="2004.22"/>
    <n v="789.2"/>
    <n v="2850.73"/>
  </r>
  <r>
    <s v="ORD-1393"/>
    <s v="2024-06-05"/>
    <x v="10"/>
    <s v="Q2"/>
    <x v="3"/>
    <s v="Texas"/>
    <x v="1"/>
    <s v="Paper"/>
    <s v="Paper"/>
    <s v="Aisha Brown"/>
    <n v="11"/>
    <n v="19.440000000000001"/>
    <n v="213.84"/>
    <n v="87.88"/>
    <n v="125.96"/>
    <n v="206.34"/>
  </r>
  <r>
    <s v="ORD-1394"/>
    <s v="2024-12-19"/>
    <x v="4"/>
    <s v="Q4"/>
    <x v="3"/>
    <s v="Georgia"/>
    <x v="1"/>
    <s v="Stapler"/>
    <s v="Stapler"/>
    <s v="Sarah Kim"/>
    <n v="11"/>
    <n v="20.54"/>
    <n v="225.94"/>
    <n v="107.21"/>
    <n v="118.73"/>
    <n v="209.57"/>
  </r>
  <r>
    <s v="ORD-1395"/>
    <s v="2024-05-27"/>
    <x v="9"/>
    <s v="Q2"/>
    <x v="1"/>
    <s v="Pennsylvania"/>
    <x v="2"/>
    <s v="Bookcase"/>
    <s v="Bookcase"/>
    <s v="Derek Thompson"/>
    <n v="15"/>
    <n v="209.74"/>
    <n v="3146.1"/>
    <n v="1790.16"/>
    <n v="1355.94"/>
    <n v="3527.31"/>
  </r>
  <r>
    <s v="ORD-1396"/>
    <s v="2024-09-04"/>
    <x v="5"/>
    <s v="Q3"/>
    <x v="3"/>
    <s v="Texas"/>
    <x v="1"/>
    <s v="Pens"/>
    <s v="Pens"/>
    <s v="James Liu"/>
    <n v="7"/>
    <n v="12.94"/>
    <n v="90.58"/>
    <n v="27.34"/>
    <n v="63.24"/>
    <n v="105.09"/>
  </r>
  <r>
    <s v="ORD-1397"/>
    <s v="2024-12-03"/>
    <x v="4"/>
    <s v="Q4"/>
    <x v="0"/>
    <s v="Illinois"/>
    <x v="2"/>
    <s v="Cabinet"/>
    <s v="Cabinet"/>
    <s v="Derek Thompson"/>
    <n v="7"/>
    <n v="274"/>
    <n v="1918"/>
    <n v="1165.51"/>
    <n v="752.49"/>
    <n v="2000.59"/>
  </r>
  <r>
    <s v="ORD-1398"/>
    <s v="2024-11-25"/>
    <x v="0"/>
    <s v="Q4"/>
    <x v="3"/>
    <s v="Georgia"/>
    <x v="1"/>
    <s v="Pens"/>
    <s v="Pens"/>
    <s v="Derek Thompson"/>
    <n v="19"/>
    <n v="12.94"/>
    <n v="245.86"/>
    <n v="77.77"/>
    <n v="168.09"/>
    <n v="234.02"/>
  </r>
  <r>
    <s v="ORD-1399"/>
    <s v="2024-09-17"/>
    <x v="5"/>
    <s v="Q3"/>
    <x v="0"/>
    <s v="Michigan"/>
    <x v="1"/>
    <s v="Paper"/>
    <s v="Paper"/>
    <s v="Priya Nair"/>
    <n v="20"/>
    <n v="18.59"/>
    <n v="371.8"/>
    <n v="162.94999999999999"/>
    <n v="208.85"/>
    <n v="414.57"/>
  </r>
  <r>
    <s v="ORD-1400"/>
    <s v="2024-08-06"/>
    <x v="11"/>
    <s v="Q3"/>
    <x v="3"/>
    <s v="Florida"/>
    <x v="2"/>
    <s v="Cabinet"/>
    <s v="Cabinet"/>
    <s v="James Liu"/>
    <n v="2"/>
    <n v="282.83999999999997"/>
    <n v="565.67999999999995"/>
    <n v="311"/>
    <n v="254.68"/>
    <n v="577.38"/>
  </r>
  <r>
    <s v="ORD-1401"/>
    <s v="2024-05-12"/>
    <x v="9"/>
    <s v="Q2"/>
    <x v="3"/>
    <s v="Texas"/>
    <x v="2"/>
    <s v="Chair"/>
    <s v="Chair"/>
    <s v="Maria Santos"/>
    <n v="12"/>
    <n v="311.11"/>
    <n v="3733.32"/>
    <n v="2254.4899999999998"/>
    <n v="1478.83"/>
    <n v="4372.71"/>
  </r>
  <r>
    <s v="ORD-1402"/>
    <s v="2024-01-21"/>
    <x v="7"/>
    <s v="Q1"/>
    <x v="1"/>
    <s v="New York"/>
    <x v="2"/>
    <s v="Bookcase"/>
    <s v="Bookcase"/>
    <s v="Sarah Kim"/>
    <n v="9"/>
    <n v="208.06"/>
    <n v="1872.54"/>
    <n v="1088.49"/>
    <n v="784.05"/>
    <n v="1965.34"/>
  </r>
  <r>
    <s v="ORD-1403"/>
    <s v="2024-11-13"/>
    <x v="0"/>
    <s v="Q4"/>
    <x v="1"/>
    <s v="New York"/>
    <x v="2"/>
    <s v="Bookcase"/>
    <s v="Bookcase"/>
    <s v="Tom Kowalski"/>
    <n v="8"/>
    <n v="190.18"/>
    <n v="1521.44"/>
    <n v="961.57"/>
    <n v="559.87"/>
    <n v="1481.14"/>
  </r>
  <r>
    <s v="ORD-1404"/>
    <s v="2024-08-26"/>
    <x v="11"/>
    <s v="Q3"/>
    <x v="2"/>
    <s v="California"/>
    <x v="2"/>
    <s v="Chair"/>
    <s v="Chair"/>
    <s v="Carlos Ruiz"/>
    <n v="8"/>
    <n v="306.27"/>
    <n v="2450.16"/>
    <n v="1455.72"/>
    <n v="994.44"/>
    <n v="2634.45"/>
  </r>
  <r>
    <s v="ORD-1405"/>
    <s v="2024-03-06"/>
    <x v="8"/>
    <s v="Q1"/>
    <x v="3"/>
    <s v="Georgia"/>
    <x v="2"/>
    <s v="Desk"/>
    <s v="Desk"/>
    <s v="Derek Thompson"/>
    <n v="14"/>
    <n v="433.53"/>
    <n v="6069.42"/>
    <n v="4041.98"/>
    <n v="2027.44"/>
    <n v="6689.04"/>
  </r>
  <r>
    <s v="ORD-1406"/>
    <s v="2024-11-16"/>
    <x v="0"/>
    <s v="Q4"/>
    <x v="2"/>
    <s v="Washington"/>
    <x v="2"/>
    <s v="Chair"/>
    <s v="Chair"/>
    <s v="Priya Nair"/>
    <n v="14"/>
    <n v="319.13"/>
    <n v="4467.82"/>
    <n v="2532.9699999999998"/>
    <n v="1934.85"/>
    <n v="3865.11"/>
  </r>
  <r>
    <s v="ORD-1407"/>
    <s v="2024-03-21"/>
    <x v="8"/>
    <s v="Q1"/>
    <x v="0"/>
    <s v="Wisconsin"/>
    <x v="0"/>
    <s v="Monitors"/>
    <s v="Monitors"/>
    <s v="Maria Santos"/>
    <n v="6"/>
    <n v="266.45999999999998"/>
    <n v="1598.76"/>
    <n v="1202"/>
    <n v="396.76"/>
    <n v="1585.83"/>
  </r>
  <r>
    <s v="ORD-1408"/>
    <s v="2024-12-24"/>
    <x v="4"/>
    <s v="Q4"/>
    <x v="1"/>
    <s v="New York"/>
    <x v="0"/>
    <s v="Headphones"/>
    <s v="Headphones"/>
    <s v="Sarah Kim"/>
    <n v="16"/>
    <n v="97.02"/>
    <n v="1552.32"/>
    <n v="995.26"/>
    <n v="557.05999999999995"/>
    <n v="1412.14"/>
  </r>
  <r>
    <s v="ORD-1409"/>
    <s v="2024-10-05"/>
    <x v="1"/>
    <s v="Q4"/>
    <x v="3"/>
    <s v="Georgia"/>
    <x v="0"/>
    <s v="Keyboards"/>
    <s v="Keyboards"/>
    <s v="Sarah Kim"/>
    <n v="20"/>
    <n v="59.65"/>
    <n v="1193"/>
    <n v="605.44000000000005"/>
    <n v="587.55999999999995"/>
    <n v="1110.01"/>
  </r>
  <r>
    <s v="ORD-1410"/>
    <s v="2024-03-04"/>
    <x v="8"/>
    <s v="Q1"/>
    <x v="0"/>
    <s v="Wisconsin"/>
    <x v="2"/>
    <s v="Cabinet"/>
    <s v="Cabinet"/>
    <s v="Maria Santos"/>
    <n v="20"/>
    <n v="276.98"/>
    <n v="5539.6"/>
    <n v="3070.82"/>
    <n v="2468.7800000000002"/>
    <n v="5631.3"/>
  </r>
  <r>
    <s v="ORD-1411"/>
    <s v="2024-09-17"/>
    <x v="5"/>
    <s v="Q3"/>
    <x v="0"/>
    <s v="Illinois"/>
    <x v="1"/>
    <s v="Pens"/>
    <s v="Pens"/>
    <s v="Sarah Kim"/>
    <n v="18"/>
    <n v="12.96"/>
    <n v="233.28"/>
    <n v="74.36"/>
    <n v="158.91999999999999"/>
    <n v="271.52"/>
  </r>
  <r>
    <s v="ORD-1412"/>
    <s v="2024-09-14"/>
    <x v="5"/>
    <s v="Q3"/>
    <x v="1"/>
    <s v="New York"/>
    <x v="2"/>
    <s v="Cabinet"/>
    <s v="Cabinet"/>
    <s v="James Liu"/>
    <n v="16"/>
    <n v="245.93"/>
    <n v="3934.88"/>
    <n v="2634.13"/>
    <n v="1300.75"/>
    <n v="3869.69"/>
  </r>
  <r>
    <s v="ORD-1413"/>
    <s v="2024-07-05"/>
    <x v="6"/>
    <s v="Q3"/>
    <x v="1"/>
    <s v="Massachusetts"/>
    <x v="0"/>
    <s v="Laptops"/>
    <s v="Laptops"/>
    <s v="Maria Santos"/>
    <n v="18"/>
    <n v="621.82000000000005"/>
    <n v="11192.76"/>
    <n v="9274.49"/>
    <n v="1918.27"/>
    <n v="10254.33"/>
  </r>
  <r>
    <s v="ORD-1414"/>
    <s v="2024-10-17"/>
    <x v="1"/>
    <s v="Q4"/>
    <x v="0"/>
    <s v="Illinois"/>
    <x v="1"/>
    <s v="Pens"/>
    <s v="Pens"/>
    <s v="Sarah Kim"/>
    <n v="11"/>
    <n v="12.45"/>
    <n v="136.94999999999999"/>
    <n v="43.6"/>
    <n v="93.35"/>
    <n v="121.52"/>
  </r>
  <r>
    <s v="ORD-1415"/>
    <s v="2024-11-19"/>
    <x v="0"/>
    <s v="Q4"/>
    <x v="1"/>
    <s v="New Jersey"/>
    <x v="2"/>
    <s v="Cabinet"/>
    <s v="Cabinet"/>
    <s v="Carlos Ruiz"/>
    <n v="20"/>
    <n v="263.36"/>
    <n v="5267.2"/>
    <n v="3128.18"/>
    <n v="2139.02"/>
    <n v="5731.83"/>
  </r>
  <r>
    <s v="ORD-1416"/>
    <s v="2024-07-18"/>
    <x v="6"/>
    <s v="Q3"/>
    <x v="2"/>
    <s v="Washington"/>
    <x v="1"/>
    <s v="Stapler"/>
    <s v="Stapler"/>
    <s v="Sarah Kim"/>
    <n v="10"/>
    <n v="20.92"/>
    <n v="209.2"/>
    <n v="100.78"/>
    <n v="108.42"/>
    <n v="234.51"/>
  </r>
  <r>
    <s v="ORD-1417"/>
    <s v="2024-12-05"/>
    <x v="4"/>
    <s v="Q4"/>
    <x v="0"/>
    <s v="Wisconsin"/>
    <x v="1"/>
    <s v="Pens"/>
    <s v="Pens"/>
    <s v="Maria Santos"/>
    <n v="17"/>
    <n v="11.04"/>
    <n v="187.68"/>
    <n v="67.319999999999993"/>
    <n v="120.36"/>
    <n v="181.76"/>
  </r>
  <r>
    <s v="ORD-1418"/>
    <s v="2024-03-13"/>
    <x v="8"/>
    <s v="Q1"/>
    <x v="0"/>
    <s v="Illinois"/>
    <x v="0"/>
    <s v="Headphones"/>
    <s v="Headphones"/>
    <s v="Tom Kowalski"/>
    <n v="14"/>
    <n v="103.09"/>
    <n v="1443.26"/>
    <n v="805.4"/>
    <n v="637.86"/>
    <n v="1359.67"/>
  </r>
  <r>
    <s v="ORD-1419"/>
    <s v="2024-02-20"/>
    <x v="3"/>
    <s v="Q1"/>
    <x v="0"/>
    <s v="Michigan"/>
    <x v="1"/>
    <s v="Folders"/>
    <s v="Folders"/>
    <s v="Priya Nair"/>
    <n v="20"/>
    <n v="9.3800000000000008"/>
    <n v="187.6"/>
    <n v="57.34"/>
    <n v="130.26"/>
    <n v="210.26"/>
  </r>
  <r>
    <s v="ORD-1420"/>
    <s v="2024-11-16"/>
    <x v="0"/>
    <s v="Q4"/>
    <x v="2"/>
    <s v="California"/>
    <x v="0"/>
    <s v="Keyboards"/>
    <s v="Keyboards"/>
    <s v="Priya Nair"/>
    <n v="20"/>
    <n v="51.64"/>
    <n v="1032.8"/>
    <n v="600.63"/>
    <n v="432.17"/>
    <n v="1130.3599999999999"/>
  </r>
  <r>
    <s v="ORD-1421"/>
    <s v="2024-11-02"/>
    <x v="0"/>
    <s v="Q4"/>
    <x v="1"/>
    <s v="Pennsylvania"/>
    <x v="2"/>
    <s v="Desk"/>
    <s v="Desk"/>
    <s v="Tom Kowalski"/>
    <n v="3"/>
    <n v="459.95"/>
    <n v="1379.85"/>
    <n v="881.73"/>
    <n v="498.12"/>
    <n v="1549.41"/>
  </r>
  <r>
    <s v="ORD-1422"/>
    <s v="2024-11-13"/>
    <x v="0"/>
    <s v="Q4"/>
    <x v="2"/>
    <s v="Washington"/>
    <x v="2"/>
    <s v="Desk"/>
    <s v="Desk"/>
    <s v="Tom Kowalski"/>
    <n v="3"/>
    <n v="439.9"/>
    <n v="1319.7"/>
    <n v="875.21"/>
    <n v="444.49"/>
    <n v="1375.6"/>
  </r>
  <r>
    <s v="ORD-1423"/>
    <s v="2024-06-27"/>
    <x v="10"/>
    <s v="Q2"/>
    <x v="1"/>
    <s v="Pennsylvania"/>
    <x v="2"/>
    <s v="Chair"/>
    <s v="Chair"/>
    <s v="Sarah Kim"/>
    <n v="13"/>
    <n v="307.2"/>
    <n v="3993.6"/>
    <n v="2488.5"/>
    <n v="1505.1"/>
    <n v="3759.53"/>
  </r>
  <r>
    <s v="ORD-1424"/>
    <s v="2024-09-04"/>
    <x v="5"/>
    <s v="Q3"/>
    <x v="0"/>
    <s v="Minnesota"/>
    <x v="1"/>
    <s v="Paper"/>
    <s v="Paper"/>
    <s v="Aisha Brown"/>
    <n v="9"/>
    <n v="19.09"/>
    <n v="171.81"/>
    <n v="74.709999999999994"/>
    <n v="97.1"/>
    <n v="194.94"/>
  </r>
  <r>
    <s v="ORD-1425"/>
    <s v="2024-12-15"/>
    <x v="4"/>
    <s v="Q4"/>
    <x v="2"/>
    <s v="Nevada"/>
    <x v="0"/>
    <s v="Keyboards"/>
    <s v="Keyboards"/>
    <s v="Maria Santos"/>
    <n v="15"/>
    <n v="60.07"/>
    <n v="901.05"/>
    <n v="458.17"/>
    <n v="442.88"/>
    <n v="1048.6300000000001"/>
  </r>
  <r>
    <s v="ORD-1426"/>
    <s v="2024-08-04"/>
    <x v="11"/>
    <s v="Q3"/>
    <x v="1"/>
    <s v="New York"/>
    <x v="1"/>
    <s v="Pens"/>
    <s v="Pens"/>
    <s v="Tom Kowalski"/>
    <n v="8"/>
    <n v="12.42"/>
    <n v="99.36"/>
    <n v="32.96"/>
    <n v="66.400000000000006"/>
    <n v="98.8"/>
  </r>
  <r>
    <s v="ORD-1427"/>
    <s v="2024-09-18"/>
    <x v="5"/>
    <s v="Q3"/>
    <x v="0"/>
    <s v="Minnesota"/>
    <x v="0"/>
    <s v="Keyboards"/>
    <s v="Keyboards"/>
    <s v="Derek Thompson"/>
    <n v="11"/>
    <n v="50.52"/>
    <n v="555.72"/>
    <n v="316.01"/>
    <n v="239.71"/>
    <n v="653.52"/>
  </r>
  <r>
    <s v="ORD-1428"/>
    <s v="2024-06-12"/>
    <x v="10"/>
    <s v="Q2"/>
    <x v="3"/>
    <s v="Georgia"/>
    <x v="0"/>
    <s v="Monitors"/>
    <s v="Monitors"/>
    <s v="Aisha Brown"/>
    <n v="7"/>
    <n v="279.94"/>
    <n v="1959.58"/>
    <n v="1362.88"/>
    <n v="596.70000000000005"/>
    <n v="1831.66"/>
  </r>
  <r>
    <s v="ORD-1429"/>
    <s v="2024-04-08"/>
    <x v="2"/>
    <s v="Q2"/>
    <x v="3"/>
    <s v="Florida"/>
    <x v="2"/>
    <s v="Bookcase"/>
    <s v="Bookcase"/>
    <s v="Derek Thompson"/>
    <n v="4"/>
    <n v="181.58"/>
    <n v="726.32"/>
    <n v="461.75"/>
    <n v="264.57"/>
    <n v="637.32000000000005"/>
  </r>
  <r>
    <s v="ORD-1430"/>
    <s v="2024-10-01"/>
    <x v="1"/>
    <s v="Q4"/>
    <x v="0"/>
    <s v="Michigan"/>
    <x v="1"/>
    <s v="Folders"/>
    <s v="Folders"/>
    <s v="Aisha Brown"/>
    <n v="19"/>
    <n v="8.99"/>
    <n v="170.81"/>
    <n v="59.1"/>
    <n v="111.71"/>
    <n v="174.53"/>
  </r>
  <r>
    <s v="ORD-1431"/>
    <s v="2024-07-08"/>
    <x v="6"/>
    <s v="Q3"/>
    <x v="3"/>
    <s v="Texas"/>
    <x v="2"/>
    <s v="Cabinet"/>
    <s v="Cabinet"/>
    <s v="Priya Nair"/>
    <n v="18"/>
    <n v="258.87"/>
    <n v="4659.66"/>
    <n v="2745.38"/>
    <n v="1914.28"/>
    <n v="4527.1000000000004"/>
  </r>
  <r>
    <s v="ORD-1432"/>
    <s v="2024-08-04"/>
    <x v="11"/>
    <s v="Q3"/>
    <x v="2"/>
    <s v="Oregon"/>
    <x v="2"/>
    <s v="Desk"/>
    <s v="Desk"/>
    <s v="Tom Kowalski"/>
    <n v="7"/>
    <n v="378.99"/>
    <n v="2652.93"/>
    <n v="1936.37"/>
    <n v="716.56"/>
    <n v="2348.54"/>
  </r>
  <r>
    <s v="ORD-1433"/>
    <s v="2024-10-28"/>
    <x v="1"/>
    <s v="Q4"/>
    <x v="1"/>
    <s v="Pennsylvania"/>
    <x v="2"/>
    <s v="Bookcase"/>
    <s v="Bookcase"/>
    <s v="Priya Nair"/>
    <n v="16"/>
    <n v="184.75"/>
    <n v="2956"/>
    <n v="2008.04"/>
    <n v="947.96"/>
    <n v="2867.57"/>
  </r>
  <r>
    <s v="ORD-1434"/>
    <s v="2024-08-14"/>
    <x v="11"/>
    <s v="Q3"/>
    <x v="3"/>
    <s v="Louisiana"/>
    <x v="2"/>
    <s v="Bookcase"/>
    <s v="Bookcase"/>
    <s v="Priya Nair"/>
    <n v="13"/>
    <n v="189.74"/>
    <n v="2466.62"/>
    <n v="1525.62"/>
    <n v="941"/>
    <n v="2251.9299999999998"/>
  </r>
  <r>
    <s v="ORD-1435"/>
    <s v="2024-10-22"/>
    <x v="1"/>
    <s v="Q4"/>
    <x v="3"/>
    <s v="Texas"/>
    <x v="2"/>
    <s v="Bookcase"/>
    <s v="Bookcase"/>
    <s v="Priya Nair"/>
    <n v="18"/>
    <n v="206.86"/>
    <n v="3723.48"/>
    <n v="2145.36"/>
    <n v="1578.12"/>
    <n v="3661.33"/>
  </r>
  <r>
    <s v="ORD-1436"/>
    <s v="2024-12-05"/>
    <x v="4"/>
    <s v="Q4"/>
    <x v="2"/>
    <s v="California"/>
    <x v="0"/>
    <s v="Headphones"/>
    <s v="Headphones"/>
    <s v="Derek Thompson"/>
    <n v="17"/>
    <n v="94.99"/>
    <n v="1614.83"/>
    <n v="1023.47"/>
    <n v="591.36"/>
    <n v="1551.05"/>
  </r>
  <r>
    <s v="ORD-1437"/>
    <s v="2024-05-09"/>
    <x v="9"/>
    <s v="Q2"/>
    <x v="0"/>
    <s v="Michigan"/>
    <x v="0"/>
    <s v="Monitors"/>
    <s v="Monitors"/>
    <s v="Derek Thompson"/>
    <n v="9"/>
    <n v="255.36"/>
    <n v="2298.2399999999998"/>
    <n v="1795.78"/>
    <n v="502.46"/>
    <n v="2460.16"/>
  </r>
  <r>
    <s v="ORD-1438"/>
    <s v="2024-12-11"/>
    <x v="4"/>
    <s v="Q4"/>
    <x v="1"/>
    <s v="New Jersey"/>
    <x v="1"/>
    <s v="Folders"/>
    <s v="Folders"/>
    <s v="Carlos Ruiz"/>
    <n v="14"/>
    <n v="8.7200000000000006"/>
    <n v="122.08"/>
    <n v="40.409999999999997"/>
    <n v="81.67"/>
    <n v="140.83000000000001"/>
  </r>
  <r>
    <s v="ORD-1439"/>
    <s v="2024-10-19"/>
    <x v="1"/>
    <s v="Q4"/>
    <x v="3"/>
    <s v="Georgia"/>
    <x v="1"/>
    <s v="Folders"/>
    <s v="Folders"/>
    <s v="James Liu"/>
    <n v="16"/>
    <n v="9.31"/>
    <n v="148.96"/>
    <n v="49.32"/>
    <n v="99.64"/>
    <n v="149.91999999999999"/>
  </r>
  <r>
    <s v="ORD-1440"/>
    <s v="2024-07-20"/>
    <x v="6"/>
    <s v="Q3"/>
    <x v="1"/>
    <s v="Massachusetts"/>
    <x v="2"/>
    <s v="Chair"/>
    <s v="Chair"/>
    <s v="Sarah Kim"/>
    <n v="11"/>
    <n v="332.83"/>
    <n v="3661.13"/>
    <n v="2073.66"/>
    <n v="1587.47"/>
    <n v="3896.57"/>
  </r>
  <r>
    <s v="ORD-1441"/>
    <s v="2024-02-03"/>
    <x v="3"/>
    <s v="Q1"/>
    <x v="3"/>
    <s v="Georgia"/>
    <x v="0"/>
    <s v="Keyboards"/>
    <s v="Keyboards"/>
    <s v="Sarah Kim"/>
    <n v="10"/>
    <n v="52.99"/>
    <n v="529.9"/>
    <n v="306.31"/>
    <n v="223.59"/>
    <n v="562.69000000000005"/>
  </r>
  <r>
    <s v="ORD-1442"/>
    <s v="2024-05-15"/>
    <x v="9"/>
    <s v="Q2"/>
    <x v="1"/>
    <s v="Massachusetts"/>
    <x v="1"/>
    <s v="Pens"/>
    <s v="Pens"/>
    <s v="Aisha Brown"/>
    <n v="1"/>
    <n v="11.24"/>
    <n v="11.24"/>
    <n v="3.85"/>
    <n v="7.39"/>
    <n v="10.48"/>
  </r>
  <r>
    <s v="ORD-1443"/>
    <s v="2024-12-23"/>
    <x v="4"/>
    <s v="Q4"/>
    <x v="0"/>
    <s v="Wisconsin"/>
    <x v="0"/>
    <s v="Headphones"/>
    <s v="Headphones"/>
    <s v="Maria Santos"/>
    <n v="3"/>
    <n v="87.46"/>
    <n v="262.38"/>
    <n v="187.86"/>
    <n v="74.52"/>
    <n v="266.48"/>
  </r>
  <r>
    <s v="ORD-1444"/>
    <s v="2024-01-25"/>
    <x v="7"/>
    <s v="Q1"/>
    <x v="2"/>
    <s v="California"/>
    <x v="0"/>
    <s v="Keyboards"/>
    <s v="Keyboards"/>
    <s v="Aisha Brown"/>
    <n v="3"/>
    <n v="56.3"/>
    <n v="168.9"/>
    <n v="91.39"/>
    <n v="77.510000000000005"/>
    <n v="195.91"/>
  </r>
  <r>
    <s v="ORD-1445"/>
    <s v="2024-04-08"/>
    <x v="2"/>
    <s v="Q2"/>
    <x v="1"/>
    <s v="Massachusetts"/>
    <x v="2"/>
    <s v="Chair"/>
    <s v="Chair"/>
    <s v="Tom Kowalski"/>
    <n v="6"/>
    <n v="287.14"/>
    <n v="1722.84"/>
    <n v="1086.26"/>
    <n v="636.58000000000004"/>
    <n v="1864.53"/>
  </r>
  <r>
    <s v="ORD-1446"/>
    <s v="2024-08-15"/>
    <x v="11"/>
    <s v="Q3"/>
    <x v="1"/>
    <s v="Massachusetts"/>
    <x v="0"/>
    <s v="Monitors"/>
    <s v="Monitors"/>
    <s v="Sarah Kim"/>
    <n v="15"/>
    <n v="285.08999999999997"/>
    <n v="4276.3500000000004"/>
    <n v="3039.31"/>
    <n v="1237.04"/>
    <n v="4586.59"/>
  </r>
  <r>
    <s v="ORD-1447"/>
    <s v="2024-09-21"/>
    <x v="5"/>
    <s v="Q3"/>
    <x v="1"/>
    <s v="New Jersey"/>
    <x v="1"/>
    <s v="Pens"/>
    <s v="Pens"/>
    <s v="Priya Nair"/>
    <n v="15"/>
    <n v="12.73"/>
    <n v="190.95"/>
    <n v="58.85"/>
    <n v="132.1"/>
    <n v="189.86"/>
  </r>
  <r>
    <s v="ORD-1448"/>
    <s v="2024-05-01"/>
    <x v="9"/>
    <s v="Q2"/>
    <x v="0"/>
    <s v="Wisconsin"/>
    <x v="1"/>
    <s v="Folders"/>
    <s v="Folders"/>
    <s v="Derek Thompson"/>
    <n v="1"/>
    <n v="8.94"/>
    <n v="8.94"/>
    <n v="3.06"/>
    <n v="5.88"/>
    <n v="9.14"/>
  </r>
  <r>
    <s v="ORD-1449"/>
    <s v="2024-05-01"/>
    <x v="9"/>
    <s v="Q2"/>
    <x v="2"/>
    <s v="Oregon"/>
    <x v="2"/>
    <s v="Chair"/>
    <s v="Chair"/>
    <s v="Sarah Kim"/>
    <n v="18"/>
    <n v="328.4"/>
    <n v="5911.2"/>
    <n v="3376.79"/>
    <n v="2534.41"/>
    <n v="5876.37"/>
  </r>
  <r>
    <s v="ORD-1450"/>
    <s v="2024-07-08"/>
    <x v="6"/>
    <s v="Q3"/>
    <x v="3"/>
    <s v="Louisiana"/>
    <x v="1"/>
    <s v="Pens"/>
    <s v="Pens"/>
    <s v="Aisha Brown"/>
    <n v="14"/>
    <n v="11.43"/>
    <n v="160.02000000000001"/>
    <n v="56.7"/>
    <n v="103.32"/>
    <n v="164.95"/>
  </r>
  <r>
    <s v="ORD-1451"/>
    <s v="2024-05-21"/>
    <x v="9"/>
    <s v="Q2"/>
    <x v="1"/>
    <s v="Massachusetts"/>
    <x v="0"/>
    <s v="Laptops"/>
    <s v="Laptops"/>
    <s v="Derek Thompson"/>
    <n v="10"/>
    <n v="608.71"/>
    <n v="6087.1"/>
    <n v="4997.3900000000003"/>
    <n v="1089.71"/>
    <n v="6144.14"/>
  </r>
  <r>
    <s v="ORD-1452"/>
    <s v="2024-05-23"/>
    <x v="9"/>
    <s v="Q2"/>
    <x v="2"/>
    <s v="Washington"/>
    <x v="1"/>
    <s v="Paper"/>
    <s v="Paper"/>
    <s v="Aisha Brown"/>
    <n v="18"/>
    <n v="16.75"/>
    <n v="301.5"/>
    <n v="137.12"/>
    <n v="164.38"/>
    <n v="358.88"/>
  </r>
  <r>
    <s v="ORD-1453"/>
    <s v="2024-05-05"/>
    <x v="9"/>
    <s v="Q2"/>
    <x v="2"/>
    <s v="California"/>
    <x v="0"/>
    <s v="Laptops"/>
    <s v="Laptops"/>
    <s v="Derek Thompson"/>
    <n v="16"/>
    <n v="604.59"/>
    <n v="9673.44"/>
    <n v="8084.7"/>
    <n v="1588.74"/>
    <n v="9645.24"/>
  </r>
  <r>
    <s v="ORD-1454"/>
    <s v="2024-06-15"/>
    <x v="10"/>
    <s v="Q2"/>
    <x v="0"/>
    <s v="Minnesota"/>
    <x v="0"/>
    <s v="Monitors"/>
    <s v="Monitors"/>
    <s v="Carlos Ruiz"/>
    <n v="13"/>
    <n v="255.14"/>
    <n v="3316.82"/>
    <n v="2488.56"/>
    <n v="828.26"/>
    <n v="3365.08"/>
  </r>
  <r>
    <s v="ORD-1455"/>
    <s v="2024-05-27"/>
    <x v="9"/>
    <s v="Q2"/>
    <x v="2"/>
    <s v="California"/>
    <x v="0"/>
    <s v="Monitors"/>
    <s v="Monitors"/>
    <s v="Carlos Ruiz"/>
    <n v="15"/>
    <n v="273.55"/>
    <n v="4103.25"/>
    <n v="2924.15"/>
    <n v="1179.0999999999999"/>
    <n v="4916.05"/>
  </r>
  <r>
    <s v="ORD-1456"/>
    <s v="2024-08-24"/>
    <x v="11"/>
    <s v="Q3"/>
    <x v="0"/>
    <s v="Wisconsin"/>
    <x v="1"/>
    <s v="Stapler"/>
    <s v="Stapler"/>
    <s v="Maria Santos"/>
    <n v="10"/>
    <n v="22.8"/>
    <n v="228"/>
    <n v="104.36"/>
    <n v="123.64"/>
    <n v="206.46"/>
  </r>
  <r>
    <s v="ORD-1457"/>
    <s v="2024-12-18"/>
    <x v="4"/>
    <s v="Q4"/>
    <x v="0"/>
    <s v="Minnesota"/>
    <x v="1"/>
    <s v="Folders"/>
    <s v="Folders"/>
    <s v="James Liu"/>
    <n v="2"/>
    <n v="8.4600000000000009"/>
    <n v="16.920000000000002"/>
    <n v="6.22"/>
    <n v="10.7"/>
    <n v="15.67"/>
  </r>
  <r>
    <s v="ORD-1458"/>
    <s v="2024-04-21"/>
    <x v="2"/>
    <s v="Q2"/>
    <x v="2"/>
    <s v="Oregon"/>
    <x v="0"/>
    <s v="Monitors"/>
    <s v="Monitors"/>
    <s v="Maria Santos"/>
    <n v="19"/>
    <n v="296.49"/>
    <n v="5633.31"/>
    <n v="3655.47"/>
    <n v="1977.84"/>
    <n v="6344.24"/>
  </r>
  <r>
    <s v="ORD-1459"/>
    <s v="2024-01-19"/>
    <x v="7"/>
    <s v="Q1"/>
    <x v="2"/>
    <s v="Washington"/>
    <x v="1"/>
    <s v="Paper"/>
    <s v="Paper"/>
    <s v="Maria Santos"/>
    <n v="16"/>
    <n v="17.100000000000001"/>
    <n v="273.60000000000002"/>
    <n v="122.77"/>
    <n v="150.83000000000001"/>
    <n v="291.8"/>
  </r>
  <r>
    <s v="ORD-1460"/>
    <s v="2024-01-12"/>
    <x v="7"/>
    <s v="Q1"/>
    <x v="3"/>
    <s v="Texas"/>
    <x v="0"/>
    <s v="Headphones"/>
    <s v="Headphones"/>
    <s v="Derek Thompson"/>
    <n v="18"/>
    <n v="89.92"/>
    <n v="1618.56"/>
    <n v="1111.1600000000001"/>
    <n v="507.4"/>
    <n v="1804.44"/>
  </r>
  <r>
    <s v="ORD-1461"/>
    <s v="2024-12-07"/>
    <x v="4"/>
    <s v="Q4"/>
    <x v="0"/>
    <s v="Michigan"/>
    <x v="1"/>
    <s v="Pens"/>
    <s v="Pens"/>
    <s v="Aisha Brown"/>
    <n v="2"/>
    <n v="11.4"/>
    <n v="22.8"/>
    <n v="7.99"/>
    <n v="14.81"/>
    <n v="22.87"/>
  </r>
  <r>
    <s v="ORD-1462"/>
    <s v="2024-09-23"/>
    <x v="5"/>
    <s v="Q3"/>
    <x v="2"/>
    <s v="Washington"/>
    <x v="2"/>
    <s v="Chair"/>
    <s v="Chair"/>
    <s v="Priya Nair"/>
    <n v="11"/>
    <n v="312.7"/>
    <n v="3439.7"/>
    <n v="2138.5700000000002"/>
    <n v="1301.1300000000001"/>
    <n v="3255.21"/>
  </r>
  <r>
    <s v="ORD-1463"/>
    <s v="2024-02-17"/>
    <x v="3"/>
    <s v="Q1"/>
    <x v="3"/>
    <s v="Louisiana"/>
    <x v="1"/>
    <s v="Folders"/>
    <s v="Folders"/>
    <s v="Sarah Kim"/>
    <n v="15"/>
    <n v="9.07"/>
    <n v="136.05000000000001"/>
    <n v="42.75"/>
    <n v="93.3"/>
    <n v="146.02000000000001"/>
  </r>
  <r>
    <s v="ORD-1464"/>
    <s v="2024-12-06"/>
    <x v="4"/>
    <s v="Q4"/>
    <x v="0"/>
    <s v="Minnesota"/>
    <x v="2"/>
    <s v="Chair"/>
    <s v="Chair"/>
    <s v="Sarah Kim"/>
    <n v="3"/>
    <n v="298.88"/>
    <n v="896.64"/>
    <n v="579.02"/>
    <n v="317.62"/>
    <n v="931.28"/>
  </r>
  <r>
    <s v="ORD-1465"/>
    <s v="2024-04-17"/>
    <x v="2"/>
    <s v="Q2"/>
    <x v="2"/>
    <s v="Washington"/>
    <x v="2"/>
    <s v="Bookcase"/>
    <s v="Bookcase"/>
    <s v="James Liu"/>
    <n v="11"/>
    <n v="188.08"/>
    <n v="2068.88"/>
    <n v="1268.58"/>
    <n v="800.3"/>
    <n v="2137.4"/>
  </r>
  <r>
    <s v="ORD-1466"/>
    <s v="2024-01-27"/>
    <x v="7"/>
    <s v="Q1"/>
    <x v="3"/>
    <s v="Florida"/>
    <x v="0"/>
    <s v="Monitors"/>
    <s v="Monitors"/>
    <s v="Sarah Kim"/>
    <n v="7"/>
    <n v="258"/>
    <n v="1806"/>
    <n v="1343.83"/>
    <n v="462.17"/>
    <n v="1896.04"/>
  </r>
  <r>
    <s v="ORD-1467"/>
    <s v="2024-11-16"/>
    <x v="0"/>
    <s v="Q4"/>
    <x v="1"/>
    <s v="New York"/>
    <x v="1"/>
    <s v="Pens"/>
    <s v="Pens"/>
    <s v="Derek Thompson"/>
    <n v="3"/>
    <n v="12.25"/>
    <n v="36.75"/>
    <n v="11.42"/>
    <n v="25.33"/>
    <n v="43.08"/>
  </r>
  <r>
    <s v="ORD-1468"/>
    <s v="2024-02-15"/>
    <x v="3"/>
    <s v="Q1"/>
    <x v="0"/>
    <s v="Minnesota"/>
    <x v="2"/>
    <s v="Cabinet"/>
    <s v="Cabinet"/>
    <s v="Maria Santos"/>
    <n v="2"/>
    <n v="276.75"/>
    <n v="553.5"/>
    <n v="330.36"/>
    <n v="223.14"/>
    <n v="521.97"/>
  </r>
  <r>
    <s v="ORD-1469"/>
    <s v="2024-12-03"/>
    <x v="4"/>
    <s v="Q4"/>
    <x v="1"/>
    <s v="New York"/>
    <x v="0"/>
    <s v="Laptops"/>
    <s v="Laptops"/>
    <s v="Carlos Ruiz"/>
    <n v="8"/>
    <n v="598.16"/>
    <n v="4785.28"/>
    <n v="4173.17"/>
    <n v="612.11"/>
    <n v="4384.8100000000004"/>
  </r>
  <r>
    <s v="ORD-1470"/>
    <s v="2024-10-21"/>
    <x v="1"/>
    <s v="Q4"/>
    <x v="3"/>
    <s v="Louisiana"/>
    <x v="2"/>
    <s v="Desk"/>
    <s v="Desk"/>
    <s v="Sarah Kim"/>
    <n v="19"/>
    <n v="442.37"/>
    <n v="8405.0300000000007"/>
    <n v="5244.44"/>
    <n v="3160.59"/>
    <n v="8493.7199999999993"/>
  </r>
  <r>
    <s v="ORD-1471"/>
    <s v="2024-02-06"/>
    <x v="3"/>
    <s v="Q1"/>
    <x v="3"/>
    <s v="Louisiana"/>
    <x v="2"/>
    <s v="Bookcase"/>
    <s v="Bookcase"/>
    <s v="Tom Kowalski"/>
    <n v="18"/>
    <n v="201.14"/>
    <n v="3620.52"/>
    <n v="2267.66"/>
    <n v="1352.86"/>
    <n v="3638.82"/>
  </r>
  <r>
    <s v="ORD-1472"/>
    <s v="2024-06-18"/>
    <x v="10"/>
    <s v="Q2"/>
    <x v="1"/>
    <s v="New Jersey"/>
    <x v="1"/>
    <s v="Stapler"/>
    <s v="Stapler"/>
    <s v="Carlos Ruiz"/>
    <n v="11"/>
    <n v="23.44"/>
    <n v="257.83999999999997"/>
    <n v="111.19"/>
    <n v="146.65"/>
    <n v="269.98"/>
  </r>
  <r>
    <s v="ORD-1473"/>
    <s v="2024-07-25"/>
    <x v="6"/>
    <s v="Q3"/>
    <x v="1"/>
    <s v="New Jersey"/>
    <x v="1"/>
    <s v="Stapler"/>
    <s v="Stapler"/>
    <s v="Maria Santos"/>
    <n v="1"/>
    <n v="24.02"/>
    <n v="24.02"/>
    <n v="10.23"/>
    <n v="13.79"/>
    <n v="28.68"/>
  </r>
  <r>
    <s v="ORD-1474"/>
    <s v="2024-09-05"/>
    <x v="5"/>
    <s v="Q3"/>
    <x v="1"/>
    <s v="New York"/>
    <x v="1"/>
    <s v="Pens"/>
    <s v="Pens"/>
    <s v="Aisha Brown"/>
    <n v="11"/>
    <n v="11.32"/>
    <n v="124.52"/>
    <n v="41.9"/>
    <n v="82.62"/>
    <n v="141.66"/>
  </r>
  <r>
    <s v="ORD-1475"/>
    <s v="2024-09-17"/>
    <x v="5"/>
    <s v="Q3"/>
    <x v="3"/>
    <s v="Texas"/>
    <x v="0"/>
    <s v="Headphones"/>
    <s v="Headphones"/>
    <s v="Carlos Ruiz"/>
    <n v="5"/>
    <n v="92.26"/>
    <n v="461.3"/>
    <n v="292.95"/>
    <n v="168.35"/>
    <n v="535.74"/>
  </r>
  <r>
    <s v="ORD-1476"/>
    <s v="2024-04-09"/>
    <x v="2"/>
    <s v="Q2"/>
    <x v="1"/>
    <s v="New York"/>
    <x v="2"/>
    <s v="Cabinet"/>
    <s v="Cabinet"/>
    <s v="Derek Thompson"/>
    <n v="7"/>
    <n v="263.58999999999997"/>
    <n v="1845.13"/>
    <n v="1146.24"/>
    <n v="698.89"/>
    <n v="2035.65"/>
  </r>
  <r>
    <s v="ORD-1477"/>
    <s v="2024-03-16"/>
    <x v="8"/>
    <s v="Q1"/>
    <x v="0"/>
    <s v="Minnesota"/>
    <x v="0"/>
    <s v="Headphones"/>
    <s v="Headphones"/>
    <s v="Sarah Kim"/>
    <n v="2"/>
    <n v="86.99"/>
    <n v="173.98"/>
    <n v="125.06"/>
    <n v="48.92"/>
    <n v="168.24"/>
  </r>
  <r>
    <s v="ORD-1478"/>
    <s v="2024-07-28"/>
    <x v="6"/>
    <s v="Q3"/>
    <x v="0"/>
    <s v="Wisconsin"/>
    <x v="2"/>
    <s v="Desk"/>
    <s v="Desk"/>
    <s v="Tom Kowalski"/>
    <n v="13"/>
    <n v="431.25"/>
    <n v="5606.25"/>
    <n v="3477.7"/>
    <n v="2128.5500000000002"/>
    <n v="5794.25"/>
  </r>
  <r>
    <s v="ORD-1479"/>
    <s v="2024-09-19"/>
    <x v="5"/>
    <s v="Q3"/>
    <x v="3"/>
    <s v="Georgia"/>
    <x v="2"/>
    <s v="Chair"/>
    <s v="Chair"/>
    <s v="James Liu"/>
    <n v="13"/>
    <n v="288.5"/>
    <n v="3750.5"/>
    <n v="2586.35"/>
    <n v="1164.1500000000001"/>
    <n v="4176.16"/>
  </r>
  <r>
    <s v="ORD-1480"/>
    <s v="2024-04-14"/>
    <x v="2"/>
    <s v="Q2"/>
    <x v="1"/>
    <s v="Massachusetts"/>
    <x v="0"/>
    <s v="Monitors"/>
    <s v="Monitors"/>
    <s v="Sarah Kim"/>
    <n v="16"/>
    <n v="270.83"/>
    <n v="4333.28"/>
    <n v="3222.86"/>
    <n v="1110.42"/>
    <n v="3758.08"/>
  </r>
  <r>
    <s v="ORD-1481"/>
    <s v="2024-05-03"/>
    <x v="9"/>
    <s v="Q2"/>
    <x v="2"/>
    <s v="Nevada"/>
    <x v="2"/>
    <s v="Chair"/>
    <s v="Chair"/>
    <s v="Carlos Ruiz"/>
    <n v="16"/>
    <n v="326.25"/>
    <n v="5220"/>
    <n v="3058.03"/>
    <n v="2161.9699999999998"/>
    <n v="5328.32"/>
  </r>
  <r>
    <s v="ORD-1482"/>
    <s v="2024-09-20"/>
    <x v="5"/>
    <s v="Q3"/>
    <x v="3"/>
    <s v="Florida"/>
    <x v="0"/>
    <s v="Keyboards"/>
    <s v="Keyboards"/>
    <s v="James Liu"/>
    <n v="11"/>
    <n v="58.04"/>
    <n v="638.44000000000005"/>
    <n v="336.1"/>
    <n v="302.33999999999997"/>
    <n v="671.39"/>
  </r>
  <r>
    <s v="ORD-1483"/>
    <s v="2024-11-14"/>
    <x v="0"/>
    <s v="Q4"/>
    <x v="2"/>
    <s v="Oregon"/>
    <x v="1"/>
    <s v="Pens"/>
    <s v="Pens"/>
    <s v="Priya Nair"/>
    <n v="20"/>
    <n v="11.57"/>
    <n v="231.4"/>
    <n v="81.239999999999995"/>
    <n v="150.16"/>
    <n v="259.02999999999997"/>
  </r>
  <r>
    <s v="ORD-1484"/>
    <s v="2024-06-20"/>
    <x v="10"/>
    <s v="Q2"/>
    <x v="2"/>
    <s v="Washington"/>
    <x v="1"/>
    <s v="Paper"/>
    <s v="Paper"/>
    <s v="James Liu"/>
    <n v="8"/>
    <n v="19.53"/>
    <n v="156.24"/>
    <n v="62.08"/>
    <n v="94.16"/>
    <n v="153.25"/>
  </r>
  <r>
    <s v="ORD-1485"/>
    <s v="2024-02-24"/>
    <x v="3"/>
    <s v="Q1"/>
    <x v="0"/>
    <s v="Wisconsin"/>
    <x v="2"/>
    <s v="Chair"/>
    <s v="Chair"/>
    <s v="James Liu"/>
    <n v="10"/>
    <n v="332.86"/>
    <n v="3328.6"/>
    <n v="1807.61"/>
    <n v="1520.99"/>
    <n v="3637.59"/>
  </r>
  <r>
    <s v="ORD-1486"/>
    <s v="2024-05-15"/>
    <x v="9"/>
    <s v="Q2"/>
    <x v="2"/>
    <s v="California"/>
    <x v="1"/>
    <s v="Pens"/>
    <s v="Pens"/>
    <s v="Aisha Brown"/>
    <n v="7"/>
    <n v="12.58"/>
    <n v="88.06"/>
    <n v="27.17"/>
    <n v="60.89"/>
    <n v="90.98"/>
  </r>
  <r>
    <s v="ORD-1487"/>
    <s v="2024-09-16"/>
    <x v="5"/>
    <s v="Q3"/>
    <x v="3"/>
    <s v="Texas"/>
    <x v="1"/>
    <s v="Paper"/>
    <s v="Paper"/>
    <s v="Aisha Brown"/>
    <n v="2"/>
    <n v="17.12"/>
    <n v="34.24"/>
    <n v="15.65"/>
    <n v="18.59"/>
    <n v="38.56"/>
  </r>
  <r>
    <s v="ORD-1488"/>
    <s v="2024-01-15"/>
    <x v="7"/>
    <s v="Q1"/>
    <x v="0"/>
    <s v="Illinois"/>
    <x v="1"/>
    <s v="Folders"/>
    <s v="Folders"/>
    <s v="Sarah Kim"/>
    <n v="12"/>
    <n v="9.2899999999999991"/>
    <n v="111.48"/>
    <n v="37.31"/>
    <n v="74.17"/>
    <n v="95.5"/>
  </r>
  <r>
    <s v="ORD-1489"/>
    <s v="2024-04-13"/>
    <x v="2"/>
    <s v="Q2"/>
    <x v="0"/>
    <s v="Minnesota"/>
    <x v="1"/>
    <s v="Paper"/>
    <s v="Paper"/>
    <s v="Maria Santos"/>
    <n v="17"/>
    <n v="16.87"/>
    <n v="286.79000000000002"/>
    <n v="142.35"/>
    <n v="144.44"/>
    <n v="300.05"/>
  </r>
  <r>
    <s v="ORD-1490"/>
    <s v="2024-01-08"/>
    <x v="7"/>
    <s v="Q1"/>
    <x v="1"/>
    <s v="New Jersey"/>
    <x v="1"/>
    <s v="Stapler"/>
    <s v="Stapler"/>
    <s v="Aisha Brown"/>
    <n v="1"/>
    <n v="23.08"/>
    <n v="23.08"/>
    <n v="9.85"/>
    <n v="13.23"/>
    <n v="22.46"/>
  </r>
  <r>
    <s v="ORD-1491"/>
    <s v="2024-04-17"/>
    <x v="2"/>
    <s v="Q2"/>
    <x v="1"/>
    <s v="New York"/>
    <x v="2"/>
    <s v="Bookcase"/>
    <s v="Bookcase"/>
    <s v="Carlos Ruiz"/>
    <n v="1"/>
    <n v="209.77"/>
    <n v="209.77"/>
    <n v="125.33"/>
    <n v="84.44"/>
    <n v="247.99"/>
  </r>
  <r>
    <s v="ORD-1492"/>
    <s v="2024-03-11"/>
    <x v="8"/>
    <s v="Q1"/>
    <x v="2"/>
    <s v="Washington"/>
    <x v="0"/>
    <s v="Headphones"/>
    <s v="Headphones"/>
    <s v="Sarah Kim"/>
    <n v="20"/>
    <n v="95.39"/>
    <n v="1907.8"/>
    <n v="1244.72"/>
    <n v="663.08"/>
    <n v="2080.04"/>
  </r>
  <r>
    <s v="ORD-1493"/>
    <s v="2024-04-19"/>
    <x v="2"/>
    <s v="Q2"/>
    <x v="3"/>
    <s v="Louisiana"/>
    <x v="1"/>
    <s v="Folders"/>
    <s v="Folders"/>
    <s v="Carlos Ruiz"/>
    <n v="5"/>
    <n v="8.91"/>
    <n v="44.55"/>
    <n v="14.56"/>
    <n v="29.99"/>
    <n v="40.03"/>
  </r>
  <r>
    <s v="ORD-1494"/>
    <s v="2024-03-10"/>
    <x v="8"/>
    <s v="Q1"/>
    <x v="3"/>
    <s v="Louisiana"/>
    <x v="0"/>
    <s v="Monitors"/>
    <s v="Monitors"/>
    <s v="Priya Nair"/>
    <n v="18"/>
    <n v="269.77999999999997"/>
    <n v="4856.04"/>
    <n v="3611.87"/>
    <n v="1244.17"/>
    <n v="5350.41"/>
  </r>
  <r>
    <s v="ORD-1495"/>
    <s v="2024-06-27"/>
    <x v="10"/>
    <s v="Q2"/>
    <x v="3"/>
    <s v="Texas"/>
    <x v="1"/>
    <s v="Stapler"/>
    <s v="Stapler"/>
    <s v="Aisha Brown"/>
    <n v="10"/>
    <n v="24.03"/>
    <n v="240.3"/>
    <n v="99.43"/>
    <n v="140.87"/>
    <n v="282.79000000000002"/>
  </r>
  <r>
    <s v="ORD-1496"/>
    <s v="2024-03-25"/>
    <x v="8"/>
    <s v="Q1"/>
    <x v="3"/>
    <s v="Texas"/>
    <x v="0"/>
    <s v="Monitors"/>
    <s v="Monitors"/>
    <s v="Carlos Ruiz"/>
    <n v="20"/>
    <n v="253.47"/>
    <n v="5069.3999999999996"/>
    <n v="4046.78"/>
    <n v="1022.62"/>
    <n v="5383.51"/>
  </r>
  <r>
    <s v="ORD-1497"/>
    <s v="2024-10-08"/>
    <x v="1"/>
    <s v="Q4"/>
    <x v="3"/>
    <s v="Texas"/>
    <x v="1"/>
    <s v="Paper"/>
    <s v="Paper"/>
    <s v="Derek Thompson"/>
    <n v="16"/>
    <n v="18.68"/>
    <n v="298.88"/>
    <n v="123.32"/>
    <n v="175.56"/>
    <n v="342.56"/>
  </r>
  <r>
    <s v="ORD-1498"/>
    <s v="2024-12-21"/>
    <x v="4"/>
    <s v="Q4"/>
    <x v="1"/>
    <s v="Pennsylvania"/>
    <x v="1"/>
    <s v="Stapler"/>
    <s v="Stapler"/>
    <s v="Maria Santos"/>
    <n v="6"/>
    <n v="21.88"/>
    <n v="131.28"/>
    <n v="58.16"/>
    <n v="73.12"/>
    <n v="113.07"/>
  </r>
  <r>
    <s v="ORD-1499"/>
    <s v="2024-05-14"/>
    <x v="9"/>
    <s v="Q2"/>
    <x v="3"/>
    <s v="Florida"/>
    <x v="0"/>
    <s v="Laptops"/>
    <s v="Laptops"/>
    <s v="Tom Kowalski"/>
    <n v="15"/>
    <n v="608.02"/>
    <n v="9120.2999999999993"/>
    <n v="8086.36"/>
    <n v="1033.94"/>
    <n v="9316.2000000000007"/>
  </r>
  <r>
    <s v="ORD-1500"/>
    <s v="2024-08-08"/>
    <x v="11"/>
    <s v="Q3"/>
    <x v="2"/>
    <s v="Nevada"/>
    <x v="0"/>
    <s v="Headphones"/>
    <s v="Headphones"/>
    <s v="Maria Santos"/>
    <n v="13"/>
    <n v="99.18"/>
    <n v="1289.3399999999999"/>
    <n v="788.7"/>
    <n v="500.64"/>
    <n v="1430.9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46EB36-EC41-4D2B-BADC-B208E9267F75}" name="PivotTable2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3:C17" firstHeaderRow="0" firstDataRow="1" firstDataCol="1"/>
  <pivotFields count="17"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  <pivotField numFmtId="165" showAll="0"/>
    <pivotField numFmtId="165" showAll="0"/>
    <pivotField dataField="1" numFmtId="165" showAll="0"/>
    <pivotField numFmtId="165" showAll="0"/>
    <pivotField dataField="1" numFmtId="165" showAll="0"/>
    <pivotField numFmtId="165" showAll="0"/>
    <pivotField dragToRow="0" dragToCol="0" dragToPage="0" showAll="0" defaultSubtotal="0"/>
  </pivotFields>
  <rowFields count="1">
    <field x="6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Revenue" fld="12" baseField="6" baseItem="0" numFmtId="166"/>
    <dataField name="Sum of Gross_Profit" fld="14" baseField="6" baseItem="0" numFmtId="16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CC249D-6D9A-4FA9-8DB8-DB04AAB42B56}" name="PivotTable1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8" firstHeaderRow="0" firstDataRow="1" firstDataCol="1"/>
  <pivotFields count="17">
    <pivotField showAll="0"/>
    <pivotField showAll="0"/>
    <pivotField showAll="0"/>
    <pivotField showAll="0"/>
    <pivotField axis="axisRow" showAll="0">
      <items count="5">
        <item x="1"/>
        <item x="0"/>
        <item x="3"/>
        <item x="2"/>
        <item t="default"/>
      </items>
    </pivotField>
    <pivotField showAll="0"/>
    <pivotField showAll="0"/>
    <pivotField showAll="0"/>
    <pivotField showAll="0"/>
    <pivotField showAll="0"/>
    <pivotField numFmtId="165" showAll="0"/>
    <pivotField numFmtId="165" showAll="0"/>
    <pivotField dataField="1" numFmtId="165" showAll="0"/>
    <pivotField numFmtId="165" showAll="0"/>
    <pivotField numFmtId="165" showAll="0"/>
    <pivotField dataField="1" numFmtId="165" showAll="0"/>
    <pivotField dataField="1" dragToRow="0" dragToCol="0" dragToPage="0" showAll="0" defaultSubtota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Revenue" fld="12" baseField="4" baseItem="0" numFmtId="166"/>
    <dataField name="Sum of Target" fld="15" baseField="4" baseItem="0" numFmtId="166"/>
    <dataField name="Sum of Attainment" fld="16" baseField="4" baseItem="0" numFmtId="10"/>
  </dataFields>
  <formats count="2">
    <format dxfId="7">
      <pivotArea collapsedLevelsAreSubtotals="1" fieldPosition="0">
        <references count="2">
          <reference field="4294967294" count="1" selected="0">
            <x v="2"/>
          </reference>
          <reference field="4" count="1">
            <x v="3"/>
          </reference>
        </references>
      </pivotArea>
    </format>
    <format dxfId="6">
      <pivotArea collapsedLevelsAreSubtotals="1" fieldPosition="0">
        <references count="2">
          <reference field="4294967294" count="1" selected="0">
            <x v="1"/>
          </reference>
          <reference field="4" count="1"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A7C4F1-F504-4465-BB1B-D6900F3791E9}" name="Monthly Revenue Trend 2024" cacheId="9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showHeaders="0" outline="1" outlineData="1" multipleFieldFilters="0" chartFormat="2">
  <location ref="R4:S16" firstHeaderRow="1" firstDataRow="1" firstDataCol="1"/>
  <pivotFields count="17">
    <pivotField showAll="0"/>
    <pivotField showAll="0"/>
    <pivotField axis="axisRow" showAll="0" sortType="ascending">
      <items count="13">
        <item x="7"/>
        <item x="3"/>
        <item x="8"/>
        <item x="2"/>
        <item x="9"/>
        <item x="10"/>
        <item x="6"/>
        <item x="11"/>
        <item x="5"/>
        <item x="1"/>
        <item x="0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numFmtId="165" showAll="0"/>
    <pivotField numFmtId="165" showAll="0"/>
    <pivotField dataField="1" numFmtId="165" showAll="0"/>
    <pivotField numFmtId="165" showAll="0"/>
    <pivotField numFmtId="165" showAll="0"/>
    <pivotField numFmtId="165" showAll="0"/>
    <pivotField dragToRow="0" dragToCol="0" dragToPage="0" showAll="0" defaultSubtotal="0"/>
  </pivotFields>
  <rowFields count="1">
    <field x="2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</rowItems>
  <colItems count="1">
    <i/>
  </colItems>
  <dataFields count="1">
    <dataField name="Monthly Revenue Trend 2024 " fld="12" baseField="2" baseItem="0" numFmtId="166"/>
  </dataFields>
  <formats count="6">
    <format dxfId="5">
      <pivotArea type="all" dataOnly="0" outline="0" fieldPosition="0"/>
    </format>
    <format dxfId="4">
      <pivotArea outline="0" collapsedLevelsAreSubtotals="1" fieldPosition="0"/>
    </format>
    <format dxfId="3">
      <pivotArea field="2" type="button" dataOnly="0" labelOnly="1" outline="0" axis="axisRow" fieldPosition="0"/>
    </format>
    <format dxfId="2">
      <pivotArea dataOnly="0" labelOnly="1" fieldPosition="0">
        <references count="1">
          <reference field="2" count="0"/>
        </references>
      </pivotArea>
    </format>
    <format dxfId="1">
      <pivotArea dataOnly="0" labelOnly="1" grandRow="1" outline="0" fieldPosition="0"/>
    </format>
    <format dxfId="0">
      <pivotArea dataOnly="0" labelOnly="1" outline="0" axis="axisValues" fieldPosition="0"/>
    </format>
  </format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96FFF64-C072-47F6-A138-DBA560B243EA}">
  <we:reference id="wa200009404" version="1.0.0.8" store="en-US" storeType="OMEX"/>
  <we:alternateReferences>
    <we:reference id="WA200009404" version="1.0.0.8" store="WA200009404" storeType="OMEX"/>
  </we:alternateReferences>
  <we:properties>
    <we:property name="claude.fileId" value="&quot;41347556-549a-4c2c-8ad1-e496a9dd4e8e&quot;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</sheetPr>
  <dimension ref="A1:P501"/>
  <sheetViews>
    <sheetView workbookViewId="0">
      <pane ySplit="1" topLeftCell="A58" activePane="bottomLeft" state="frozen"/>
      <selection pane="bottomLeft" activeCell="F461" sqref="F461"/>
    </sheetView>
  </sheetViews>
  <sheetFormatPr defaultRowHeight="15"/>
  <cols>
    <col min="1" max="1" width="10" customWidth="1"/>
    <col min="2" max="2" width="12" customWidth="1"/>
    <col min="3" max="3" width="6" customWidth="1"/>
    <col min="4" max="4" width="5" customWidth="1"/>
    <col min="5" max="5" width="8" customWidth="1"/>
    <col min="6" max="6" width="14" customWidth="1"/>
    <col min="7" max="9" width="13" customWidth="1"/>
    <col min="10" max="10" width="16" customWidth="1"/>
    <col min="11" max="11" width="7" customWidth="1"/>
    <col min="12" max="12" width="10" customWidth="1"/>
    <col min="13" max="14" width="12" customWidth="1"/>
    <col min="15" max="15" width="13" customWidth="1"/>
    <col min="16" max="16" width="12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s="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23</v>
      </c>
      <c r="J2" t="s">
        <v>24</v>
      </c>
      <c r="K2" s="3">
        <v>4</v>
      </c>
      <c r="L2" s="3">
        <v>259.81</v>
      </c>
      <c r="M2" s="3">
        <v>1039.24</v>
      </c>
      <c r="N2" s="3">
        <v>814.14</v>
      </c>
      <c r="O2" s="3">
        <v>225.1</v>
      </c>
      <c r="P2" s="3">
        <v>1207.8699999999999</v>
      </c>
    </row>
    <row r="3" spans="1:16">
      <c r="A3" t="s">
        <v>25</v>
      </c>
      <c r="B3" s="2" t="s">
        <v>26</v>
      </c>
      <c r="C3" t="s">
        <v>27</v>
      </c>
      <c r="D3" t="s">
        <v>19</v>
      </c>
      <c r="E3" t="s">
        <v>20</v>
      </c>
      <c r="F3" t="s">
        <v>28</v>
      </c>
      <c r="G3" t="s">
        <v>22</v>
      </c>
      <c r="H3" t="s">
        <v>23</v>
      </c>
      <c r="I3" t="s">
        <v>23</v>
      </c>
      <c r="J3" t="s">
        <v>29</v>
      </c>
      <c r="K3" s="3">
        <v>20</v>
      </c>
      <c r="L3" s="3">
        <v>265.02999999999997</v>
      </c>
      <c r="M3" s="3">
        <v>5300.6</v>
      </c>
      <c r="N3" s="3">
        <v>3810.61</v>
      </c>
      <c r="O3" s="3">
        <v>1489.99</v>
      </c>
      <c r="P3" s="3">
        <v>4874.3999999999996</v>
      </c>
    </row>
    <row r="4" spans="1:16">
      <c r="A4" t="s">
        <v>30</v>
      </c>
      <c r="B4" s="2" t="s">
        <v>31</v>
      </c>
      <c r="C4" t="s">
        <v>32</v>
      </c>
      <c r="D4" t="s">
        <v>33</v>
      </c>
      <c r="E4" t="s">
        <v>34</v>
      </c>
      <c r="F4" t="s">
        <v>35</v>
      </c>
      <c r="G4" t="s">
        <v>22</v>
      </c>
      <c r="H4" t="s">
        <v>36</v>
      </c>
      <c r="I4" t="s">
        <v>36</v>
      </c>
      <c r="J4" t="s">
        <v>24</v>
      </c>
      <c r="K4" s="3">
        <v>5</v>
      </c>
      <c r="L4" s="3">
        <v>91.96</v>
      </c>
      <c r="M4" s="3">
        <v>459.8</v>
      </c>
      <c r="N4" s="3">
        <v>291.45999999999998</v>
      </c>
      <c r="O4" s="3">
        <v>168.34</v>
      </c>
      <c r="P4" s="3">
        <v>513.70000000000005</v>
      </c>
    </row>
    <row r="5" spans="1:16">
      <c r="A5" t="s">
        <v>37</v>
      </c>
      <c r="B5" s="2" t="s">
        <v>38</v>
      </c>
      <c r="C5" t="s">
        <v>39</v>
      </c>
      <c r="D5" t="s">
        <v>40</v>
      </c>
      <c r="E5" t="s">
        <v>20</v>
      </c>
      <c r="F5" t="s">
        <v>21</v>
      </c>
      <c r="G5" t="s">
        <v>41</v>
      </c>
      <c r="H5" t="s">
        <v>42</v>
      </c>
      <c r="I5" t="s">
        <v>42</v>
      </c>
      <c r="J5" t="s">
        <v>29</v>
      </c>
      <c r="K5" s="3">
        <v>15</v>
      </c>
      <c r="L5" s="3">
        <v>9.5500000000000007</v>
      </c>
      <c r="M5" s="3">
        <v>143.25</v>
      </c>
      <c r="N5" s="3">
        <v>45.16</v>
      </c>
      <c r="O5" s="3">
        <v>98.09</v>
      </c>
      <c r="P5" s="3">
        <v>170.55</v>
      </c>
    </row>
    <row r="6" spans="1:16">
      <c r="A6" t="s">
        <v>43</v>
      </c>
      <c r="B6" s="2" t="s">
        <v>44</v>
      </c>
      <c r="C6" t="s">
        <v>39</v>
      </c>
      <c r="D6" t="s">
        <v>40</v>
      </c>
      <c r="E6" t="s">
        <v>34</v>
      </c>
      <c r="F6" t="s">
        <v>45</v>
      </c>
      <c r="G6" t="s">
        <v>46</v>
      </c>
      <c r="H6" t="s">
        <v>47</v>
      </c>
      <c r="I6" t="s">
        <v>47</v>
      </c>
      <c r="J6" t="s">
        <v>24</v>
      </c>
      <c r="K6" s="3">
        <v>2</v>
      </c>
      <c r="L6" s="3">
        <v>322.68</v>
      </c>
      <c r="M6" s="3">
        <v>645.36</v>
      </c>
      <c r="N6" s="3">
        <v>386.13</v>
      </c>
      <c r="O6" s="3">
        <v>259.23</v>
      </c>
      <c r="P6" s="3">
        <v>723.17</v>
      </c>
    </row>
    <row r="7" spans="1:16">
      <c r="A7" t="s">
        <v>48</v>
      </c>
      <c r="B7" s="2" t="s">
        <v>49</v>
      </c>
      <c r="C7" t="s">
        <v>32</v>
      </c>
      <c r="D7" t="s">
        <v>33</v>
      </c>
      <c r="E7" t="s">
        <v>20</v>
      </c>
      <c r="F7" t="s">
        <v>50</v>
      </c>
      <c r="G7" t="s">
        <v>41</v>
      </c>
      <c r="H7" t="s">
        <v>51</v>
      </c>
      <c r="I7" t="s">
        <v>51</v>
      </c>
      <c r="J7" t="s">
        <v>52</v>
      </c>
      <c r="K7" s="3">
        <v>12</v>
      </c>
      <c r="L7" s="3">
        <v>22.6</v>
      </c>
      <c r="M7" s="3">
        <v>271.2</v>
      </c>
      <c r="N7" s="3">
        <v>115.95</v>
      </c>
      <c r="O7" s="3">
        <v>155.25</v>
      </c>
      <c r="P7" s="3">
        <v>264.24</v>
      </c>
    </row>
    <row r="8" spans="1:16">
      <c r="A8" t="s">
        <v>53</v>
      </c>
      <c r="B8" s="2" t="s">
        <v>54</v>
      </c>
      <c r="C8" t="s">
        <v>55</v>
      </c>
      <c r="D8" t="s">
        <v>19</v>
      </c>
      <c r="E8" t="s">
        <v>20</v>
      </c>
      <c r="F8" t="s">
        <v>56</v>
      </c>
      <c r="G8" t="s">
        <v>46</v>
      </c>
      <c r="H8" t="s">
        <v>47</v>
      </c>
      <c r="I8" t="s">
        <v>47</v>
      </c>
      <c r="J8" t="s">
        <v>57</v>
      </c>
      <c r="K8" s="3">
        <v>13</v>
      </c>
      <c r="L8" s="3">
        <v>289.13</v>
      </c>
      <c r="M8" s="3">
        <v>3758.69</v>
      </c>
      <c r="N8" s="3">
        <v>2413.1799999999998</v>
      </c>
      <c r="O8" s="3">
        <v>1345.51</v>
      </c>
      <c r="P8" s="3">
        <v>4412.28</v>
      </c>
    </row>
    <row r="9" spans="1:16">
      <c r="A9" t="s">
        <v>58</v>
      </c>
      <c r="B9" s="2" t="s">
        <v>59</v>
      </c>
      <c r="C9" t="s">
        <v>18</v>
      </c>
      <c r="D9" t="s">
        <v>19</v>
      </c>
      <c r="E9" t="s">
        <v>20</v>
      </c>
      <c r="F9" t="s">
        <v>56</v>
      </c>
      <c r="G9" t="s">
        <v>22</v>
      </c>
      <c r="H9" t="s">
        <v>60</v>
      </c>
      <c r="I9" t="s">
        <v>60</v>
      </c>
      <c r="J9" t="s">
        <v>61</v>
      </c>
      <c r="K9" s="3">
        <v>3</v>
      </c>
      <c r="L9" s="3">
        <v>53.91</v>
      </c>
      <c r="M9" s="3">
        <v>161.72999999999999</v>
      </c>
      <c r="N9" s="3">
        <v>87.4</v>
      </c>
      <c r="O9" s="3">
        <v>74.33</v>
      </c>
      <c r="P9" s="3">
        <v>190.84</v>
      </c>
    </row>
    <row r="10" spans="1:16">
      <c r="A10" t="s">
        <v>62</v>
      </c>
      <c r="B10" s="2" t="s">
        <v>63</v>
      </c>
      <c r="C10" t="s">
        <v>32</v>
      </c>
      <c r="D10" t="s">
        <v>33</v>
      </c>
      <c r="E10" t="s">
        <v>64</v>
      </c>
      <c r="F10" t="s">
        <v>65</v>
      </c>
      <c r="G10" t="s">
        <v>46</v>
      </c>
      <c r="H10" t="s">
        <v>66</v>
      </c>
      <c r="I10" t="s">
        <v>66</v>
      </c>
      <c r="J10" t="s">
        <v>52</v>
      </c>
      <c r="K10" s="3">
        <v>5</v>
      </c>
      <c r="L10" s="3">
        <v>241.43</v>
      </c>
      <c r="M10" s="3">
        <v>1207.1500000000001</v>
      </c>
      <c r="N10" s="3">
        <v>779.73</v>
      </c>
      <c r="O10" s="3">
        <v>427.42</v>
      </c>
      <c r="P10" s="3">
        <v>1263.26</v>
      </c>
    </row>
    <row r="11" spans="1:16">
      <c r="A11" t="s">
        <v>67</v>
      </c>
      <c r="B11" s="2" t="s">
        <v>68</v>
      </c>
      <c r="C11" t="s">
        <v>55</v>
      </c>
      <c r="D11" t="s">
        <v>19</v>
      </c>
      <c r="E11" t="s">
        <v>64</v>
      </c>
      <c r="F11" t="s">
        <v>65</v>
      </c>
      <c r="G11" t="s">
        <v>41</v>
      </c>
      <c r="H11" t="s">
        <v>69</v>
      </c>
      <c r="I11" t="s">
        <v>69</v>
      </c>
      <c r="J11" t="s">
        <v>70</v>
      </c>
      <c r="K11" s="3">
        <v>5</v>
      </c>
      <c r="L11" s="3">
        <v>13.19</v>
      </c>
      <c r="M11" s="3">
        <v>65.95</v>
      </c>
      <c r="N11" s="3">
        <v>20.02</v>
      </c>
      <c r="O11" s="3">
        <v>45.93</v>
      </c>
      <c r="P11" s="3">
        <v>58.16</v>
      </c>
    </row>
    <row r="12" spans="1:16">
      <c r="A12" t="s">
        <v>71</v>
      </c>
      <c r="B12" s="2" t="s">
        <v>72</v>
      </c>
      <c r="C12" t="s">
        <v>39</v>
      </c>
      <c r="D12" t="s">
        <v>40</v>
      </c>
      <c r="E12" t="s">
        <v>73</v>
      </c>
      <c r="F12" t="s">
        <v>74</v>
      </c>
      <c r="G12" t="s">
        <v>46</v>
      </c>
      <c r="H12" t="s">
        <v>75</v>
      </c>
      <c r="I12" t="s">
        <v>75</v>
      </c>
      <c r="J12" t="s">
        <v>70</v>
      </c>
      <c r="K12" s="3">
        <v>20</v>
      </c>
      <c r="L12" s="3">
        <v>410.32</v>
      </c>
      <c r="M12" s="3">
        <v>8206.4</v>
      </c>
      <c r="N12" s="3">
        <v>5877.83</v>
      </c>
      <c r="O12" s="3">
        <v>2328.5700000000002</v>
      </c>
      <c r="P12" s="3">
        <v>8495.18</v>
      </c>
    </row>
    <row r="13" spans="1:16">
      <c r="A13" t="s">
        <v>76</v>
      </c>
      <c r="B13" s="2" t="s">
        <v>77</v>
      </c>
      <c r="C13" t="s">
        <v>18</v>
      </c>
      <c r="D13" t="s">
        <v>19</v>
      </c>
      <c r="E13" t="s">
        <v>20</v>
      </c>
      <c r="F13" t="s">
        <v>21</v>
      </c>
      <c r="G13" t="s">
        <v>46</v>
      </c>
      <c r="H13" t="s">
        <v>78</v>
      </c>
      <c r="I13" t="s">
        <v>78</v>
      </c>
      <c r="J13" t="s">
        <v>52</v>
      </c>
      <c r="K13" s="3">
        <v>14</v>
      </c>
      <c r="L13" s="3">
        <v>179.85</v>
      </c>
      <c r="M13" s="3">
        <v>2517.9</v>
      </c>
      <c r="N13" s="3">
        <v>1622.57</v>
      </c>
      <c r="O13" s="3">
        <v>895.33</v>
      </c>
      <c r="P13" s="3">
        <v>2143.0700000000002</v>
      </c>
    </row>
    <row r="14" spans="1:16">
      <c r="A14" t="s">
        <v>79</v>
      </c>
      <c r="B14" s="2" t="s">
        <v>80</v>
      </c>
      <c r="C14" t="s">
        <v>81</v>
      </c>
      <c r="D14" t="s">
        <v>82</v>
      </c>
      <c r="E14" t="s">
        <v>73</v>
      </c>
      <c r="F14" t="s">
        <v>83</v>
      </c>
      <c r="G14" t="s">
        <v>46</v>
      </c>
      <c r="H14" t="s">
        <v>78</v>
      </c>
      <c r="I14" t="s">
        <v>78</v>
      </c>
      <c r="J14" t="s">
        <v>84</v>
      </c>
      <c r="K14" s="3">
        <v>17</v>
      </c>
      <c r="L14" s="3">
        <v>208.33</v>
      </c>
      <c r="M14" s="3">
        <v>3541.61</v>
      </c>
      <c r="N14" s="3">
        <v>2062.23</v>
      </c>
      <c r="O14" s="3">
        <v>1479.38</v>
      </c>
      <c r="P14" s="3">
        <v>3199.82</v>
      </c>
    </row>
    <row r="15" spans="1:16">
      <c r="A15" t="s">
        <v>85</v>
      </c>
      <c r="B15" s="2" t="s">
        <v>80</v>
      </c>
      <c r="C15" t="s">
        <v>81</v>
      </c>
      <c r="D15" t="s">
        <v>82</v>
      </c>
      <c r="E15" t="s">
        <v>20</v>
      </c>
      <c r="F15" t="s">
        <v>21</v>
      </c>
      <c r="G15" t="s">
        <v>41</v>
      </c>
      <c r="H15" t="s">
        <v>86</v>
      </c>
      <c r="I15" t="s">
        <v>86</v>
      </c>
      <c r="J15" t="s">
        <v>52</v>
      </c>
      <c r="K15" s="3">
        <v>12</v>
      </c>
      <c r="L15" s="3">
        <v>16.600000000000001</v>
      </c>
      <c r="M15" s="3">
        <v>199.2</v>
      </c>
      <c r="N15" s="3">
        <v>99.64</v>
      </c>
      <c r="O15" s="3">
        <v>99.56</v>
      </c>
      <c r="P15" s="3">
        <v>227.3</v>
      </c>
    </row>
    <row r="16" spans="1:16">
      <c r="A16" t="s">
        <v>87</v>
      </c>
      <c r="B16" s="2" t="s">
        <v>88</v>
      </c>
      <c r="C16" t="s">
        <v>32</v>
      </c>
      <c r="D16" t="s">
        <v>33</v>
      </c>
      <c r="E16" t="s">
        <v>73</v>
      </c>
      <c r="F16" t="s">
        <v>83</v>
      </c>
      <c r="G16" t="s">
        <v>22</v>
      </c>
      <c r="H16" t="s">
        <v>36</v>
      </c>
      <c r="I16" t="s">
        <v>36</v>
      </c>
      <c r="J16" t="s">
        <v>89</v>
      </c>
      <c r="K16" s="3">
        <v>18</v>
      </c>
      <c r="L16" s="3">
        <v>101</v>
      </c>
      <c r="M16" s="3">
        <v>1818</v>
      </c>
      <c r="N16" s="3">
        <v>1108.71</v>
      </c>
      <c r="O16" s="3">
        <v>709.29</v>
      </c>
      <c r="P16" s="3">
        <v>1627</v>
      </c>
    </row>
    <row r="17" spans="1:16">
      <c r="A17" t="s">
        <v>90</v>
      </c>
      <c r="B17" s="2" t="s">
        <v>91</v>
      </c>
      <c r="C17" t="s">
        <v>81</v>
      </c>
      <c r="D17" t="s">
        <v>82</v>
      </c>
      <c r="E17" t="s">
        <v>34</v>
      </c>
      <c r="F17" t="s">
        <v>92</v>
      </c>
      <c r="G17" t="s">
        <v>22</v>
      </c>
      <c r="H17" t="s">
        <v>23</v>
      </c>
      <c r="I17" t="s">
        <v>23</v>
      </c>
      <c r="J17" t="s">
        <v>89</v>
      </c>
      <c r="K17" s="3">
        <v>13</v>
      </c>
      <c r="L17" s="3">
        <v>291.93</v>
      </c>
      <c r="M17" s="3">
        <v>3795.09</v>
      </c>
      <c r="N17" s="3">
        <v>2728.74</v>
      </c>
      <c r="O17" s="3">
        <v>1066.3499999999999</v>
      </c>
      <c r="P17" s="3">
        <v>4089.05</v>
      </c>
    </row>
    <row r="18" spans="1:16">
      <c r="A18" t="s">
        <v>93</v>
      </c>
      <c r="B18" s="2" t="s">
        <v>94</v>
      </c>
      <c r="C18" t="s">
        <v>81</v>
      </c>
      <c r="D18" t="s">
        <v>82</v>
      </c>
      <c r="E18" t="s">
        <v>20</v>
      </c>
      <c r="F18" t="s">
        <v>56</v>
      </c>
      <c r="G18" t="s">
        <v>22</v>
      </c>
      <c r="H18" t="s">
        <v>95</v>
      </c>
      <c r="I18" t="s">
        <v>95</v>
      </c>
      <c r="J18" t="s">
        <v>70</v>
      </c>
      <c r="K18" s="3">
        <v>19</v>
      </c>
      <c r="L18" s="3">
        <v>628.95000000000005</v>
      </c>
      <c r="M18" s="3">
        <v>11950.05</v>
      </c>
      <c r="N18" s="3">
        <v>9933.27</v>
      </c>
      <c r="O18" s="3">
        <v>2016.78</v>
      </c>
      <c r="P18" s="3">
        <v>12618.7</v>
      </c>
    </row>
    <row r="19" spans="1:16">
      <c r="A19" t="s">
        <v>96</v>
      </c>
      <c r="B19" s="2" t="s">
        <v>97</v>
      </c>
      <c r="C19" t="s">
        <v>39</v>
      </c>
      <c r="D19" t="s">
        <v>40</v>
      </c>
      <c r="E19" t="s">
        <v>20</v>
      </c>
      <c r="F19" t="s">
        <v>56</v>
      </c>
      <c r="G19" t="s">
        <v>22</v>
      </c>
      <c r="H19" t="s">
        <v>95</v>
      </c>
      <c r="I19" t="s">
        <v>95</v>
      </c>
      <c r="J19" t="s">
        <v>89</v>
      </c>
      <c r="K19" s="3">
        <v>3</v>
      </c>
      <c r="L19" s="3">
        <v>696.75</v>
      </c>
      <c r="M19" s="3">
        <v>2090.25</v>
      </c>
      <c r="N19" s="3">
        <v>1562.21</v>
      </c>
      <c r="O19" s="3">
        <v>528.04</v>
      </c>
      <c r="P19" s="3">
        <v>1980.44</v>
      </c>
    </row>
    <row r="20" spans="1:16">
      <c r="A20" t="s">
        <v>98</v>
      </c>
      <c r="B20" s="2" t="s">
        <v>99</v>
      </c>
      <c r="C20" t="s">
        <v>32</v>
      </c>
      <c r="D20" t="s">
        <v>33</v>
      </c>
      <c r="E20" t="s">
        <v>73</v>
      </c>
      <c r="F20" t="s">
        <v>74</v>
      </c>
      <c r="G20" t="s">
        <v>22</v>
      </c>
      <c r="H20" t="s">
        <v>36</v>
      </c>
      <c r="I20" t="s">
        <v>36</v>
      </c>
      <c r="J20" t="s">
        <v>61</v>
      </c>
      <c r="K20" s="3">
        <v>7</v>
      </c>
      <c r="L20" s="3">
        <v>100.84</v>
      </c>
      <c r="M20" s="3">
        <v>705.88</v>
      </c>
      <c r="N20" s="3">
        <v>402.96</v>
      </c>
      <c r="O20" s="3">
        <v>302.92</v>
      </c>
      <c r="P20" s="3">
        <v>762.8</v>
      </c>
    </row>
    <row r="21" spans="1:16">
      <c r="A21" t="s">
        <v>100</v>
      </c>
      <c r="B21" s="2" t="s">
        <v>101</v>
      </c>
      <c r="C21" t="s">
        <v>102</v>
      </c>
      <c r="D21" t="s">
        <v>82</v>
      </c>
      <c r="E21" t="s">
        <v>64</v>
      </c>
      <c r="F21" t="s">
        <v>103</v>
      </c>
      <c r="G21" t="s">
        <v>46</v>
      </c>
      <c r="H21" t="s">
        <v>75</v>
      </c>
      <c r="I21" t="s">
        <v>75</v>
      </c>
      <c r="J21" t="s">
        <v>57</v>
      </c>
      <c r="K21" s="3">
        <v>11</v>
      </c>
      <c r="L21" s="3">
        <v>383.09</v>
      </c>
      <c r="M21" s="3">
        <v>4213.99</v>
      </c>
      <c r="N21" s="3">
        <v>3172.58</v>
      </c>
      <c r="O21" s="3">
        <v>1041.4100000000001</v>
      </c>
      <c r="P21" s="3">
        <v>3743.05</v>
      </c>
    </row>
    <row r="22" spans="1:16">
      <c r="A22" t="s">
        <v>104</v>
      </c>
      <c r="B22" s="2" t="s">
        <v>99</v>
      </c>
      <c r="C22" t="s">
        <v>32</v>
      </c>
      <c r="D22" t="s">
        <v>33</v>
      </c>
      <c r="E22" t="s">
        <v>64</v>
      </c>
      <c r="F22" t="s">
        <v>105</v>
      </c>
      <c r="G22" t="s">
        <v>41</v>
      </c>
      <c r="H22" t="s">
        <v>69</v>
      </c>
      <c r="I22" t="s">
        <v>69</v>
      </c>
      <c r="J22" t="s">
        <v>24</v>
      </c>
      <c r="K22" s="3">
        <v>8</v>
      </c>
      <c r="L22" s="3">
        <v>11.47</v>
      </c>
      <c r="M22" s="3">
        <v>91.76</v>
      </c>
      <c r="N22" s="3">
        <v>33.200000000000003</v>
      </c>
      <c r="O22" s="3">
        <v>58.56</v>
      </c>
      <c r="P22" s="3">
        <v>80.42</v>
      </c>
    </row>
    <row r="23" spans="1:16">
      <c r="A23" t="s">
        <v>106</v>
      </c>
      <c r="B23" s="2" t="s">
        <v>107</v>
      </c>
      <c r="C23" t="s">
        <v>108</v>
      </c>
      <c r="D23" t="s">
        <v>40</v>
      </c>
      <c r="E23" t="s">
        <v>20</v>
      </c>
      <c r="F23" t="s">
        <v>28</v>
      </c>
      <c r="G23" t="s">
        <v>22</v>
      </c>
      <c r="H23" t="s">
        <v>23</v>
      </c>
      <c r="I23" t="s">
        <v>23</v>
      </c>
      <c r="J23" t="s">
        <v>70</v>
      </c>
      <c r="K23" s="3">
        <v>16</v>
      </c>
      <c r="L23" s="3">
        <v>274.76</v>
      </c>
      <c r="M23" s="3">
        <v>4396.16</v>
      </c>
      <c r="N23" s="3">
        <v>3108.4</v>
      </c>
      <c r="O23" s="3">
        <v>1287.76</v>
      </c>
      <c r="P23" s="3">
        <v>4353.8</v>
      </c>
    </row>
    <row r="24" spans="1:16">
      <c r="A24" t="s">
        <v>109</v>
      </c>
      <c r="B24" s="2" t="s">
        <v>110</v>
      </c>
      <c r="C24" t="s">
        <v>111</v>
      </c>
      <c r="D24" t="s">
        <v>40</v>
      </c>
      <c r="E24" t="s">
        <v>20</v>
      </c>
      <c r="F24" t="s">
        <v>50</v>
      </c>
      <c r="G24" t="s">
        <v>41</v>
      </c>
      <c r="H24" t="s">
        <v>51</v>
      </c>
      <c r="I24" t="s">
        <v>51</v>
      </c>
      <c r="J24" t="s">
        <v>57</v>
      </c>
      <c r="K24" s="3">
        <v>18</v>
      </c>
      <c r="L24" s="3">
        <v>21.06</v>
      </c>
      <c r="M24" s="3">
        <v>379.08</v>
      </c>
      <c r="N24" s="3">
        <v>182.91</v>
      </c>
      <c r="O24" s="3">
        <v>196.17</v>
      </c>
      <c r="P24" s="3">
        <v>386.79</v>
      </c>
    </row>
    <row r="25" spans="1:16">
      <c r="A25" t="s">
        <v>112</v>
      </c>
      <c r="B25" s="2" t="s">
        <v>113</v>
      </c>
      <c r="C25" t="s">
        <v>114</v>
      </c>
      <c r="D25" t="s">
        <v>33</v>
      </c>
      <c r="E25" t="s">
        <v>20</v>
      </c>
      <c r="F25" t="s">
        <v>28</v>
      </c>
      <c r="G25" t="s">
        <v>46</v>
      </c>
      <c r="H25" t="s">
        <v>78</v>
      </c>
      <c r="I25" t="s">
        <v>78</v>
      </c>
      <c r="J25" t="s">
        <v>84</v>
      </c>
      <c r="K25" s="3">
        <v>19</v>
      </c>
      <c r="L25" s="3">
        <v>177.73</v>
      </c>
      <c r="M25" s="3">
        <v>3376.87</v>
      </c>
      <c r="N25" s="3">
        <v>2274.71</v>
      </c>
      <c r="O25" s="3">
        <v>1102.1600000000001</v>
      </c>
      <c r="P25" s="3">
        <v>3956.97</v>
      </c>
    </row>
    <row r="26" spans="1:16">
      <c r="A26" t="s">
        <v>115</v>
      </c>
      <c r="B26" s="2" t="s">
        <v>116</v>
      </c>
      <c r="C26" t="s">
        <v>108</v>
      </c>
      <c r="D26" t="s">
        <v>40</v>
      </c>
      <c r="E26" t="s">
        <v>20</v>
      </c>
      <c r="F26" t="s">
        <v>56</v>
      </c>
      <c r="G26" t="s">
        <v>22</v>
      </c>
      <c r="H26" t="s">
        <v>95</v>
      </c>
      <c r="I26" t="s">
        <v>95</v>
      </c>
      <c r="J26" t="s">
        <v>57</v>
      </c>
      <c r="K26" s="3">
        <v>8</v>
      </c>
      <c r="L26" s="3">
        <v>672.78</v>
      </c>
      <c r="M26" s="3">
        <v>5382.24</v>
      </c>
      <c r="N26" s="3">
        <v>4119.97</v>
      </c>
      <c r="O26" s="3">
        <v>1262.27</v>
      </c>
      <c r="P26" s="3">
        <v>6348.67</v>
      </c>
    </row>
    <row r="27" spans="1:16">
      <c r="A27" t="s">
        <v>117</v>
      </c>
      <c r="B27" s="2" t="s">
        <v>118</v>
      </c>
      <c r="C27" t="s">
        <v>27</v>
      </c>
      <c r="D27" t="s">
        <v>19</v>
      </c>
      <c r="E27" t="s">
        <v>20</v>
      </c>
      <c r="F27" t="s">
        <v>28</v>
      </c>
      <c r="G27" t="s">
        <v>41</v>
      </c>
      <c r="H27" t="s">
        <v>42</v>
      </c>
      <c r="I27" t="s">
        <v>42</v>
      </c>
      <c r="J27" t="s">
        <v>52</v>
      </c>
      <c r="K27" s="3">
        <v>7</v>
      </c>
      <c r="L27" s="3">
        <v>9.7799999999999994</v>
      </c>
      <c r="M27" s="3">
        <v>68.459999999999994</v>
      </c>
      <c r="N27" s="3">
        <v>21.36</v>
      </c>
      <c r="O27" s="3">
        <v>47.1</v>
      </c>
      <c r="P27" s="3">
        <v>65.72</v>
      </c>
    </row>
    <row r="28" spans="1:16">
      <c r="A28" t="s">
        <v>119</v>
      </c>
      <c r="B28" s="2" t="s">
        <v>120</v>
      </c>
      <c r="C28" t="s">
        <v>102</v>
      </c>
      <c r="D28" t="s">
        <v>82</v>
      </c>
      <c r="E28" t="s">
        <v>34</v>
      </c>
      <c r="F28" t="s">
        <v>92</v>
      </c>
      <c r="G28" t="s">
        <v>41</v>
      </c>
      <c r="H28" t="s">
        <v>86</v>
      </c>
      <c r="I28" t="s">
        <v>86</v>
      </c>
      <c r="J28" t="s">
        <v>24</v>
      </c>
      <c r="K28" s="3">
        <v>20</v>
      </c>
      <c r="L28" s="3">
        <v>16.23</v>
      </c>
      <c r="M28" s="3">
        <v>324.60000000000002</v>
      </c>
      <c r="N28" s="3">
        <v>167.98</v>
      </c>
      <c r="O28" s="3">
        <v>156.62</v>
      </c>
      <c r="P28" s="3">
        <v>389.08</v>
      </c>
    </row>
    <row r="29" spans="1:16">
      <c r="A29" t="s">
        <v>121</v>
      </c>
      <c r="B29" s="2" t="s">
        <v>122</v>
      </c>
      <c r="C29" t="s">
        <v>81</v>
      </c>
      <c r="D29" t="s">
        <v>82</v>
      </c>
      <c r="E29" t="s">
        <v>34</v>
      </c>
      <c r="F29" t="s">
        <v>123</v>
      </c>
      <c r="G29" t="s">
        <v>41</v>
      </c>
      <c r="H29" t="s">
        <v>86</v>
      </c>
      <c r="I29" t="s">
        <v>86</v>
      </c>
      <c r="J29" t="s">
        <v>52</v>
      </c>
      <c r="K29" s="3">
        <v>12</v>
      </c>
      <c r="L29" s="3">
        <v>19.37</v>
      </c>
      <c r="M29" s="3">
        <v>232.44</v>
      </c>
      <c r="N29" s="3">
        <v>93.94</v>
      </c>
      <c r="O29" s="3">
        <v>138.5</v>
      </c>
      <c r="P29" s="3">
        <v>233.22</v>
      </c>
    </row>
    <row r="30" spans="1:16">
      <c r="A30" t="s">
        <v>124</v>
      </c>
      <c r="B30" s="2" t="s">
        <v>125</v>
      </c>
      <c r="C30" t="s">
        <v>27</v>
      </c>
      <c r="D30" t="s">
        <v>19</v>
      </c>
      <c r="E30" t="s">
        <v>20</v>
      </c>
      <c r="F30" t="s">
        <v>21</v>
      </c>
      <c r="G30" t="s">
        <v>46</v>
      </c>
      <c r="H30" t="s">
        <v>75</v>
      </c>
      <c r="I30" t="s">
        <v>75</v>
      </c>
      <c r="J30" t="s">
        <v>84</v>
      </c>
      <c r="K30" s="3">
        <v>5</v>
      </c>
      <c r="L30" s="3">
        <v>456.87</v>
      </c>
      <c r="M30" s="3">
        <v>2284.35</v>
      </c>
      <c r="N30" s="3">
        <v>1367.03</v>
      </c>
      <c r="O30" s="3">
        <v>917.32</v>
      </c>
      <c r="P30" s="3">
        <v>2653.04</v>
      </c>
    </row>
    <row r="31" spans="1:16">
      <c r="A31" t="s">
        <v>126</v>
      </c>
      <c r="B31" s="2" t="s">
        <v>127</v>
      </c>
      <c r="C31" t="s">
        <v>114</v>
      </c>
      <c r="D31" t="s">
        <v>33</v>
      </c>
      <c r="E31" t="s">
        <v>73</v>
      </c>
      <c r="F31" t="s">
        <v>128</v>
      </c>
      <c r="G31" t="s">
        <v>22</v>
      </c>
      <c r="H31" t="s">
        <v>60</v>
      </c>
      <c r="I31" t="s">
        <v>60</v>
      </c>
      <c r="J31" t="s">
        <v>24</v>
      </c>
      <c r="K31" s="3">
        <v>9</v>
      </c>
      <c r="L31" s="3">
        <v>55.06</v>
      </c>
      <c r="M31" s="3">
        <v>495.54</v>
      </c>
      <c r="N31" s="3">
        <v>280.94</v>
      </c>
      <c r="O31" s="3">
        <v>214.6</v>
      </c>
      <c r="P31" s="3">
        <v>567.96</v>
      </c>
    </row>
    <row r="32" spans="1:16">
      <c r="A32" t="s">
        <v>129</v>
      </c>
      <c r="B32" s="2" t="s">
        <v>130</v>
      </c>
      <c r="C32" t="s">
        <v>18</v>
      </c>
      <c r="D32" t="s">
        <v>19</v>
      </c>
      <c r="E32" t="s">
        <v>34</v>
      </c>
      <c r="F32" t="s">
        <v>35</v>
      </c>
      <c r="G32" t="s">
        <v>22</v>
      </c>
      <c r="H32" t="s">
        <v>60</v>
      </c>
      <c r="I32" t="s">
        <v>60</v>
      </c>
      <c r="J32" t="s">
        <v>29</v>
      </c>
      <c r="K32" s="3">
        <v>9</v>
      </c>
      <c r="L32" s="3">
        <v>57.98</v>
      </c>
      <c r="M32" s="3">
        <v>521.82000000000005</v>
      </c>
      <c r="N32" s="3">
        <v>260.86</v>
      </c>
      <c r="O32" s="3">
        <v>260.95999999999998</v>
      </c>
      <c r="P32" s="3">
        <v>524.24</v>
      </c>
    </row>
    <row r="33" spans="1:16">
      <c r="A33" t="s">
        <v>131</v>
      </c>
      <c r="B33" s="2" t="s">
        <v>132</v>
      </c>
      <c r="C33" t="s">
        <v>81</v>
      </c>
      <c r="D33" t="s">
        <v>82</v>
      </c>
      <c r="E33" t="s">
        <v>20</v>
      </c>
      <c r="F33" t="s">
        <v>28</v>
      </c>
      <c r="G33" t="s">
        <v>46</v>
      </c>
      <c r="H33" t="s">
        <v>47</v>
      </c>
      <c r="I33" t="s">
        <v>47</v>
      </c>
      <c r="J33" t="s">
        <v>84</v>
      </c>
      <c r="K33" s="3">
        <v>12</v>
      </c>
      <c r="L33" s="3">
        <v>312.83</v>
      </c>
      <c r="M33" s="3">
        <v>3753.96</v>
      </c>
      <c r="N33" s="3">
        <v>2298.81</v>
      </c>
      <c r="O33" s="3">
        <v>1455.15</v>
      </c>
      <c r="P33" s="3">
        <v>3385.44</v>
      </c>
    </row>
    <row r="34" spans="1:16">
      <c r="A34" t="s">
        <v>133</v>
      </c>
      <c r="B34" s="2" t="s">
        <v>134</v>
      </c>
      <c r="C34" t="s">
        <v>108</v>
      </c>
      <c r="D34" t="s">
        <v>40</v>
      </c>
      <c r="E34" t="s">
        <v>34</v>
      </c>
      <c r="F34" t="s">
        <v>35</v>
      </c>
      <c r="G34" t="s">
        <v>41</v>
      </c>
      <c r="H34" t="s">
        <v>69</v>
      </c>
      <c r="I34" t="s">
        <v>69</v>
      </c>
      <c r="J34" t="s">
        <v>29</v>
      </c>
      <c r="K34" s="3">
        <v>4</v>
      </c>
      <c r="L34" s="3">
        <v>12.44</v>
      </c>
      <c r="M34" s="3">
        <v>49.76</v>
      </c>
      <c r="N34" s="3">
        <v>15.77</v>
      </c>
      <c r="O34" s="3">
        <v>33.99</v>
      </c>
      <c r="P34" s="3">
        <v>52.05</v>
      </c>
    </row>
    <row r="35" spans="1:16">
      <c r="A35" t="s">
        <v>135</v>
      </c>
      <c r="B35" s="2" t="s">
        <v>136</v>
      </c>
      <c r="C35" t="s">
        <v>27</v>
      </c>
      <c r="D35" t="s">
        <v>19</v>
      </c>
      <c r="E35" t="s">
        <v>73</v>
      </c>
      <c r="F35" t="s">
        <v>137</v>
      </c>
      <c r="G35" t="s">
        <v>22</v>
      </c>
      <c r="H35" t="s">
        <v>23</v>
      </c>
      <c r="I35" t="s">
        <v>23</v>
      </c>
      <c r="J35" t="s">
        <v>29</v>
      </c>
      <c r="K35" s="3">
        <v>1</v>
      </c>
      <c r="L35" s="3">
        <v>301.36</v>
      </c>
      <c r="M35" s="3">
        <v>301.36</v>
      </c>
      <c r="N35" s="3">
        <v>193.59</v>
      </c>
      <c r="O35" s="3">
        <v>107.77</v>
      </c>
      <c r="P35" s="3">
        <v>353.67</v>
      </c>
    </row>
    <row r="36" spans="1:16">
      <c r="A36" t="s">
        <v>138</v>
      </c>
      <c r="B36" s="2" t="s">
        <v>139</v>
      </c>
      <c r="C36" t="s">
        <v>18</v>
      </c>
      <c r="D36" t="s">
        <v>19</v>
      </c>
      <c r="E36" t="s">
        <v>73</v>
      </c>
      <c r="F36" t="s">
        <v>128</v>
      </c>
      <c r="G36" t="s">
        <v>22</v>
      </c>
      <c r="H36" t="s">
        <v>95</v>
      </c>
      <c r="I36" t="s">
        <v>95</v>
      </c>
      <c r="J36" t="s">
        <v>89</v>
      </c>
      <c r="K36" s="3">
        <v>2</v>
      </c>
      <c r="L36" s="3">
        <v>634.73</v>
      </c>
      <c r="M36" s="3">
        <v>1269.46</v>
      </c>
      <c r="N36" s="3">
        <v>1077.29</v>
      </c>
      <c r="O36" s="3">
        <v>192.17</v>
      </c>
      <c r="P36" s="3">
        <v>1177.8699999999999</v>
      </c>
    </row>
    <row r="37" spans="1:16">
      <c r="A37" t="s">
        <v>140</v>
      </c>
      <c r="B37" s="2" t="s">
        <v>141</v>
      </c>
      <c r="C37" t="s">
        <v>142</v>
      </c>
      <c r="D37" t="s">
        <v>33</v>
      </c>
      <c r="E37" t="s">
        <v>73</v>
      </c>
      <c r="F37" t="s">
        <v>137</v>
      </c>
      <c r="G37" t="s">
        <v>22</v>
      </c>
      <c r="H37" t="s">
        <v>23</v>
      </c>
      <c r="I37" t="s">
        <v>23</v>
      </c>
      <c r="J37" t="s">
        <v>52</v>
      </c>
      <c r="K37" s="3">
        <v>9</v>
      </c>
      <c r="L37" s="3">
        <v>274.31</v>
      </c>
      <c r="M37" s="3">
        <v>2468.79</v>
      </c>
      <c r="N37" s="3">
        <v>1865.58</v>
      </c>
      <c r="O37" s="3">
        <v>603.21</v>
      </c>
      <c r="P37" s="3">
        <v>2933.94</v>
      </c>
    </row>
    <row r="38" spans="1:16">
      <c r="A38" t="s">
        <v>143</v>
      </c>
      <c r="B38" s="2" t="s">
        <v>144</v>
      </c>
      <c r="C38" t="s">
        <v>142</v>
      </c>
      <c r="D38" t="s">
        <v>33</v>
      </c>
      <c r="E38" t="s">
        <v>64</v>
      </c>
      <c r="F38" t="s">
        <v>145</v>
      </c>
      <c r="G38" t="s">
        <v>22</v>
      </c>
      <c r="H38" t="s">
        <v>95</v>
      </c>
      <c r="I38" t="s">
        <v>95</v>
      </c>
      <c r="J38" t="s">
        <v>52</v>
      </c>
      <c r="K38" s="3">
        <v>9</v>
      </c>
      <c r="L38" s="3">
        <v>699.01</v>
      </c>
      <c r="M38" s="3">
        <v>6291.09</v>
      </c>
      <c r="N38" s="3">
        <v>4529.57</v>
      </c>
      <c r="O38" s="3">
        <v>1761.52</v>
      </c>
      <c r="P38" s="3">
        <v>7466.81</v>
      </c>
    </row>
    <row r="39" spans="1:16">
      <c r="A39" t="s">
        <v>146</v>
      </c>
      <c r="B39" s="2" t="s">
        <v>147</v>
      </c>
      <c r="C39" t="s">
        <v>108</v>
      </c>
      <c r="D39" t="s">
        <v>40</v>
      </c>
      <c r="E39" t="s">
        <v>64</v>
      </c>
      <c r="F39" t="s">
        <v>145</v>
      </c>
      <c r="G39" t="s">
        <v>46</v>
      </c>
      <c r="H39" t="s">
        <v>78</v>
      </c>
      <c r="I39" t="s">
        <v>78</v>
      </c>
      <c r="J39" t="s">
        <v>57</v>
      </c>
      <c r="K39" s="3">
        <v>17</v>
      </c>
      <c r="L39" s="3">
        <v>192.52</v>
      </c>
      <c r="M39" s="3">
        <v>3272.84</v>
      </c>
      <c r="N39" s="3">
        <v>1961.59</v>
      </c>
      <c r="O39" s="3">
        <v>1311.25</v>
      </c>
      <c r="P39" s="3">
        <v>3812.29</v>
      </c>
    </row>
    <row r="40" spans="1:16">
      <c r="A40" t="s">
        <v>148</v>
      </c>
      <c r="B40" s="2" t="s">
        <v>149</v>
      </c>
      <c r="C40" t="s">
        <v>114</v>
      </c>
      <c r="D40" t="s">
        <v>33</v>
      </c>
      <c r="E40" t="s">
        <v>64</v>
      </c>
      <c r="F40" t="s">
        <v>103</v>
      </c>
      <c r="G40" t="s">
        <v>46</v>
      </c>
      <c r="H40" t="s">
        <v>47</v>
      </c>
      <c r="I40" t="s">
        <v>47</v>
      </c>
      <c r="J40" t="s">
        <v>61</v>
      </c>
      <c r="K40" s="3">
        <v>3</v>
      </c>
      <c r="L40" s="3">
        <v>301.58</v>
      </c>
      <c r="M40" s="3">
        <v>904.74</v>
      </c>
      <c r="N40" s="3">
        <v>595.59</v>
      </c>
      <c r="O40" s="3">
        <v>309.14999999999998</v>
      </c>
      <c r="P40" s="3">
        <v>1060.5999999999999</v>
      </c>
    </row>
    <row r="41" spans="1:16">
      <c r="A41" t="s">
        <v>150</v>
      </c>
      <c r="B41" s="2" t="s">
        <v>139</v>
      </c>
      <c r="C41" t="s">
        <v>18</v>
      </c>
      <c r="D41" t="s">
        <v>19</v>
      </c>
      <c r="E41" t="s">
        <v>20</v>
      </c>
      <c r="F41" t="s">
        <v>21</v>
      </c>
      <c r="G41" t="s">
        <v>46</v>
      </c>
      <c r="H41" t="s">
        <v>78</v>
      </c>
      <c r="I41" t="s">
        <v>78</v>
      </c>
      <c r="J41" t="s">
        <v>84</v>
      </c>
      <c r="K41" s="3">
        <v>11</v>
      </c>
      <c r="L41" s="3">
        <v>201.51</v>
      </c>
      <c r="M41" s="3">
        <v>2216.61</v>
      </c>
      <c r="N41" s="3">
        <v>1307.1199999999999</v>
      </c>
      <c r="O41" s="3">
        <v>909.49</v>
      </c>
      <c r="P41" s="3">
        <v>2113.4899999999998</v>
      </c>
    </row>
    <row r="42" spans="1:16">
      <c r="A42" t="s">
        <v>151</v>
      </c>
      <c r="B42" s="2" t="s">
        <v>152</v>
      </c>
      <c r="C42" t="s">
        <v>32</v>
      </c>
      <c r="D42" t="s">
        <v>33</v>
      </c>
      <c r="E42" t="s">
        <v>64</v>
      </c>
      <c r="F42" t="s">
        <v>105</v>
      </c>
      <c r="G42" t="s">
        <v>46</v>
      </c>
      <c r="H42" t="s">
        <v>78</v>
      </c>
      <c r="I42" t="s">
        <v>78</v>
      </c>
      <c r="J42" t="s">
        <v>61</v>
      </c>
      <c r="K42" s="3">
        <v>1</v>
      </c>
      <c r="L42" s="3">
        <v>191.34</v>
      </c>
      <c r="M42" s="3">
        <v>191.34</v>
      </c>
      <c r="N42" s="3">
        <v>117.65</v>
      </c>
      <c r="O42" s="3">
        <v>73.69</v>
      </c>
      <c r="P42" s="3">
        <v>176.71</v>
      </c>
    </row>
    <row r="43" spans="1:16">
      <c r="A43" t="s">
        <v>153</v>
      </c>
      <c r="B43" s="2" t="s">
        <v>154</v>
      </c>
      <c r="C43" t="s">
        <v>155</v>
      </c>
      <c r="D43" t="s">
        <v>82</v>
      </c>
      <c r="E43" t="s">
        <v>64</v>
      </c>
      <c r="F43" t="s">
        <v>105</v>
      </c>
      <c r="G43" t="s">
        <v>46</v>
      </c>
      <c r="H43" t="s">
        <v>66</v>
      </c>
      <c r="I43" t="s">
        <v>66</v>
      </c>
      <c r="J43" t="s">
        <v>61</v>
      </c>
      <c r="K43" s="3">
        <v>6</v>
      </c>
      <c r="L43" s="3">
        <v>275.27</v>
      </c>
      <c r="M43" s="3">
        <v>1651.62</v>
      </c>
      <c r="N43" s="3">
        <v>975.25</v>
      </c>
      <c r="O43" s="3">
        <v>676.37</v>
      </c>
      <c r="P43" s="3">
        <v>1567.92</v>
      </c>
    </row>
    <row r="44" spans="1:16">
      <c r="A44" t="s">
        <v>156</v>
      </c>
      <c r="B44" s="2" t="s">
        <v>157</v>
      </c>
      <c r="C44" t="s">
        <v>39</v>
      </c>
      <c r="D44" t="s">
        <v>40</v>
      </c>
      <c r="E44" t="s">
        <v>73</v>
      </c>
      <c r="F44" t="s">
        <v>128</v>
      </c>
      <c r="G44" t="s">
        <v>22</v>
      </c>
      <c r="H44" t="s">
        <v>23</v>
      </c>
      <c r="I44" t="s">
        <v>23</v>
      </c>
      <c r="J44" t="s">
        <v>24</v>
      </c>
      <c r="K44" s="3">
        <v>2</v>
      </c>
      <c r="L44" s="3">
        <v>260.25</v>
      </c>
      <c r="M44" s="3">
        <v>520.5</v>
      </c>
      <c r="N44" s="3">
        <v>389.79</v>
      </c>
      <c r="O44" s="3">
        <v>130.71</v>
      </c>
      <c r="P44" s="3">
        <v>528.98</v>
      </c>
    </row>
    <row r="45" spans="1:16">
      <c r="A45" t="s">
        <v>158</v>
      </c>
      <c r="B45" s="2" t="s">
        <v>159</v>
      </c>
      <c r="C45" t="s">
        <v>155</v>
      </c>
      <c r="D45" t="s">
        <v>82</v>
      </c>
      <c r="E45" t="s">
        <v>73</v>
      </c>
      <c r="F45" t="s">
        <v>74</v>
      </c>
      <c r="G45" t="s">
        <v>41</v>
      </c>
      <c r="H45" t="s">
        <v>51</v>
      </c>
      <c r="I45" t="s">
        <v>51</v>
      </c>
      <c r="J45" t="s">
        <v>24</v>
      </c>
      <c r="K45" s="3">
        <v>1</v>
      </c>
      <c r="L45" s="3">
        <v>20.87</v>
      </c>
      <c r="M45" s="3">
        <v>20.87</v>
      </c>
      <c r="N45" s="3">
        <v>10.39</v>
      </c>
      <c r="O45" s="3">
        <v>10.48</v>
      </c>
      <c r="P45" s="3">
        <v>24.02</v>
      </c>
    </row>
    <row r="46" spans="1:16">
      <c r="A46" t="s">
        <v>160</v>
      </c>
      <c r="B46" s="2" t="s">
        <v>161</v>
      </c>
      <c r="C46" t="s">
        <v>102</v>
      </c>
      <c r="D46" t="s">
        <v>82</v>
      </c>
      <c r="E46" t="s">
        <v>73</v>
      </c>
      <c r="F46" t="s">
        <v>74</v>
      </c>
      <c r="G46" t="s">
        <v>22</v>
      </c>
      <c r="H46" t="s">
        <v>23</v>
      </c>
      <c r="I46" t="s">
        <v>23</v>
      </c>
      <c r="J46" t="s">
        <v>61</v>
      </c>
      <c r="K46" s="3">
        <v>4</v>
      </c>
      <c r="L46" s="3">
        <v>303.38</v>
      </c>
      <c r="M46" s="3">
        <v>1213.52</v>
      </c>
      <c r="N46" s="3">
        <v>796.52</v>
      </c>
      <c r="O46" s="3">
        <v>417</v>
      </c>
      <c r="P46" s="3">
        <v>1371.88</v>
      </c>
    </row>
    <row r="47" spans="1:16">
      <c r="A47" t="s">
        <v>162</v>
      </c>
      <c r="B47" s="2" t="s">
        <v>163</v>
      </c>
      <c r="C47" t="s">
        <v>155</v>
      </c>
      <c r="D47" t="s">
        <v>82</v>
      </c>
      <c r="E47" t="s">
        <v>64</v>
      </c>
      <c r="F47" t="s">
        <v>65</v>
      </c>
      <c r="G47" t="s">
        <v>22</v>
      </c>
      <c r="H47" t="s">
        <v>36</v>
      </c>
      <c r="I47" t="s">
        <v>36</v>
      </c>
      <c r="J47" t="s">
        <v>89</v>
      </c>
      <c r="K47" s="3">
        <v>8</v>
      </c>
      <c r="L47" s="3">
        <v>94.05</v>
      </c>
      <c r="M47" s="3">
        <v>752.4</v>
      </c>
      <c r="N47" s="3">
        <v>496.31</v>
      </c>
      <c r="O47" s="3">
        <v>256.08999999999997</v>
      </c>
      <c r="P47" s="3">
        <v>712.57</v>
      </c>
    </row>
    <row r="48" spans="1:16">
      <c r="A48" t="s">
        <v>164</v>
      </c>
      <c r="B48" s="2" t="s">
        <v>165</v>
      </c>
      <c r="C48" t="s">
        <v>18</v>
      </c>
      <c r="D48" t="s">
        <v>19</v>
      </c>
      <c r="E48" t="s">
        <v>34</v>
      </c>
      <c r="F48" t="s">
        <v>92</v>
      </c>
      <c r="G48" t="s">
        <v>22</v>
      </c>
      <c r="H48" t="s">
        <v>60</v>
      </c>
      <c r="I48" t="s">
        <v>60</v>
      </c>
      <c r="J48" t="s">
        <v>84</v>
      </c>
      <c r="K48" s="3">
        <v>11</v>
      </c>
      <c r="L48" s="3">
        <v>52.08</v>
      </c>
      <c r="M48" s="3">
        <v>572.88</v>
      </c>
      <c r="N48" s="3">
        <v>324.05</v>
      </c>
      <c r="O48" s="3">
        <v>248.83</v>
      </c>
      <c r="P48" s="3">
        <v>595.25</v>
      </c>
    </row>
    <row r="49" spans="1:16">
      <c r="A49" t="s">
        <v>166</v>
      </c>
      <c r="B49" s="2" t="s">
        <v>167</v>
      </c>
      <c r="C49" t="s">
        <v>111</v>
      </c>
      <c r="D49" t="s">
        <v>40</v>
      </c>
      <c r="E49" t="s">
        <v>64</v>
      </c>
      <c r="F49" t="s">
        <v>105</v>
      </c>
      <c r="G49" t="s">
        <v>46</v>
      </c>
      <c r="H49" t="s">
        <v>47</v>
      </c>
      <c r="I49" t="s">
        <v>47</v>
      </c>
      <c r="J49" t="s">
        <v>70</v>
      </c>
      <c r="K49" s="3">
        <v>14</v>
      </c>
      <c r="L49" s="3">
        <v>282.98</v>
      </c>
      <c r="M49" s="3">
        <v>3961.72</v>
      </c>
      <c r="N49" s="3">
        <v>2615.0100000000002</v>
      </c>
      <c r="O49" s="3">
        <v>1346.71</v>
      </c>
      <c r="P49" s="3">
        <v>4013.51</v>
      </c>
    </row>
    <row r="50" spans="1:16">
      <c r="A50" t="s">
        <v>168</v>
      </c>
      <c r="B50" s="2" t="s">
        <v>169</v>
      </c>
      <c r="C50" t="s">
        <v>32</v>
      </c>
      <c r="D50" t="s">
        <v>33</v>
      </c>
      <c r="E50" t="s">
        <v>64</v>
      </c>
      <c r="F50" t="s">
        <v>65</v>
      </c>
      <c r="G50" t="s">
        <v>46</v>
      </c>
      <c r="H50" t="s">
        <v>75</v>
      </c>
      <c r="I50" t="s">
        <v>75</v>
      </c>
      <c r="J50" t="s">
        <v>61</v>
      </c>
      <c r="K50" s="3">
        <v>19</v>
      </c>
      <c r="L50" s="3">
        <v>449.97</v>
      </c>
      <c r="M50" s="3">
        <v>8549.43</v>
      </c>
      <c r="N50" s="3">
        <v>5256.36</v>
      </c>
      <c r="O50" s="3">
        <v>3293.07</v>
      </c>
      <c r="P50" s="3">
        <v>7284.66</v>
      </c>
    </row>
    <row r="51" spans="1:16">
      <c r="A51" t="s">
        <v>170</v>
      </c>
      <c r="B51" s="2" t="s">
        <v>171</v>
      </c>
      <c r="C51" t="s">
        <v>114</v>
      </c>
      <c r="D51" t="s">
        <v>33</v>
      </c>
      <c r="E51" t="s">
        <v>64</v>
      </c>
      <c r="F51" t="s">
        <v>65</v>
      </c>
      <c r="G51" t="s">
        <v>46</v>
      </c>
      <c r="H51" t="s">
        <v>47</v>
      </c>
      <c r="I51" t="s">
        <v>47</v>
      </c>
      <c r="J51" t="s">
        <v>61</v>
      </c>
      <c r="K51" s="3">
        <v>9</v>
      </c>
      <c r="L51" s="3">
        <v>309.27</v>
      </c>
      <c r="M51" s="3">
        <v>2783.43</v>
      </c>
      <c r="N51" s="3">
        <v>1699.03</v>
      </c>
      <c r="O51" s="3">
        <v>1084.4000000000001</v>
      </c>
      <c r="P51" s="3">
        <v>2394.19</v>
      </c>
    </row>
    <row r="52" spans="1:16">
      <c r="A52" t="s">
        <v>172</v>
      </c>
      <c r="B52" s="2" t="s">
        <v>173</v>
      </c>
      <c r="C52" t="s">
        <v>18</v>
      </c>
      <c r="D52" t="s">
        <v>19</v>
      </c>
      <c r="E52" t="s">
        <v>64</v>
      </c>
      <c r="F52" t="s">
        <v>105</v>
      </c>
      <c r="G52" t="s">
        <v>41</v>
      </c>
      <c r="H52" t="s">
        <v>69</v>
      </c>
      <c r="I52" t="s">
        <v>69</v>
      </c>
      <c r="J52" t="s">
        <v>70</v>
      </c>
      <c r="K52" s="3">
        <v>18</v>
      </c>
      <c r="L52" s="3">
        <v>13.15</v>
      </c>
      <c r="M52" s="3">
        <v>236.7</v>
      </c>
      <c r="N52" s="3">
        <v>68.59</v>
      </c>
      <c r="O52" s="3">
        <v>168.11</v>
      </c>
      <c r="P52" s="3">
        <v>233.84</v>
      </c>
    </row>
    <row r="53" spans="1:16">
      <c r="A53" t="s">
        <v>174</v>
      </c>
      <c r="B53" s="2" t="s">
        <v>175</v>
      </c>
      <c r="C53" t="s">
        <v>39</v>
      </c>
      <c r="D53" t="s">
        <v>40</v>
      </c>
      <c r="E53" t="s">
        <v>64</v>
      </c>
      <c r="F53" t="s">
        <v>105</v>
      </c>
      <c r="G53" t="s">
        <v>41</v>
      </c>
      <c r="H53" t="s">
        <v>69</v>
      </c>
      <c r="I53" t="s">
        <v>69</v>
      </c>
      <c r="J53" t="s">
        <v>61</v>
      </c>
      <c r="K53" s="3">
        <v>13</v>
      </c>
      <c r="L53" s="3">
        <v>10.92</v>
      </c>
      <c r="M53" s="3">
        <v>141.96</v>
      </c>
      <c r="N53" s="3">
        <v>51.1</v>
      </c>
      <c r="O53" s="3">
        <v>90.86</v>
      </c>
      <c r="P53" s="3">
        <v>143.26</v>
      </c>
    </row>
    <row r="54" spans="1:16">
      <c r="A54" t="s">
        <v>176</v>
      </c>
      <c r="B54" s="2" t="s">
        <v>177</v>
      </c>
      <c r="C54" t="s">
        <v>102</v>
      </c>
      <c r="D54" t="s">
        <v>82</v>
      </c>
      <c r="E54" t="s">
        <v>64</v>
      </c>
      <c r="F54" t="s">
        <v>145</v>
      </c>
      <c r="G54" t="s">
        <v>22</v>
      </c>
      <c r="H54" t="s">
        <v>36</v>
      </c>
      <c r="I54" t="s">
        <v>36</v>
      </c>
      <c r="J54" t="s">
        <v>57</v>
      </c>
      <c r="K54" s="3">
        <v>18</v>
      </c>
      <c r="L54" s="3">
        <v>85.87</v>
      </c>
      <c r="M54" s="3">
        <v>1545.66</v>
      </c>
      <c r="N54" s="3">
        <v>1031.6300000000001</v>
      </c>
      <c r="O54" s="3">
        <v>514.03</v>
      </c>
      <c r="P54" s="3">
        <v>1828.78</v>
      </c>
    </row>
    <row r="55" spans="1:16">
      <c r="A55" t="s">
        <v>178</v>
      </c>
      <c r="B55" s="2" t="s">
        <v>179</v>
      </c>
      <c r="C55" t="s">
        <v>18</v>
      </c>
      <c r="D55" t="s">
        <v>19</v>
      </c>
      <c r="E55" t="s">
        <v>20</v>
      </c>
      <c r="F55" t="s">
        <v>28</v>
      </c>
      <c r="G55" t="s">
        <v>22</v>
      </c>
      <c r="H55" t="s">
        <v>23</v>
      </c>
      <c r="I55" t="s">
        <v>23</v>
      </c>
      <c r="J55" t="s">
        <v>24</v>
      </c>
      <c r="K55" s="3">
        <v>20</v>
      </c>
      <c r="L55" s="3">
        <v>299</v>
      </c>
      <c r="M55" s="3">
        <v>5980</v>
      </c>
      <c r="N55" s="3">
        <v>3860.95</v>
      </c>
      <c r="O55" s="3">
        <v>2119.0500000000002</v>
      </c>
      <c r="P55" s="3">
        <v>5347.18</v>
      </c>
    </row>
    <row r="56" spans="1:16">
      <c r="A56" t="s">
        <v>180</v>
      </c>
      <c r="B56" s="2" t="s">
        <v>181</v>
      </c>
      <c r="C56" t="s">
        <v>27</v>
      </c>
      <c r="D56" t="s">
        <v>19</v>
      </c>
      <c r="E56" t="s">
        <v>64</v>
      </c>
      <c r="F56" t="s">
        <v>145</v>
      </c>
      <c r="G56" t="s">
        <v>41</v>
      </c>
      <c r="H56" t="s">
        <v>69</v>
      </c>
      <c r="I56" t="s">
        <v>69</v>
      </c>
      <c r="J56" t="s">
        <v>52</v>
      </c>
      <c r="K56" s="3">
        <v>4</v>
      </c>
      <c r="L56" s="3">
        <v>12.25</v>
      </c>
      <c r="M56" s="3">
        <v>49</v>
      </c>
      <c r="N56" s="3">
        <v>16.440000000000001</v>
      </c>
      <c r="O56" s="3">
        <v>32.56</v>
      </c>
      <c r="P56" s="3">
        <v>44.46</v>
      </c>
    </row>
    <row r="57" spans="1:16">
      <c r="A57" t="s">
        <v>182</v>
      </c>
      <c r="B57" s="2" t="s">
        <v>183</v>
      </c>
      <c r="C57" t="s">
        <v>39</v>
      </c>
      <c r="D57" t="s">
        <v>40</v>
      </c>
      <c r="E57" t="s">
        <v>20</v>
      </c>
      <c r="F57" t="s">
        <v>21</v>
      </c>
      <c r="G57" t="s">
        <v>46</v>
      </c>
      <c r="H57" t="s">
        <v>66</v>
      </c>
      <c r="I57" t="s">
        <v>66</v>
      </c>
      <c r="J57" t="s">
        <v>57</v>
      </c>
      <c r="K57" s="3">
        <v>7</v>
      </c>
      <c r="L57" s="3">
        <v>254.63</v>
      </c>
      <c r="M57" s="3">
        <v>1782.41</v>
      </c>
      <c r="N57" s="3">
        <v>1072.51</v>
      </c>
      <c r="O57" s="3">
        <v>709.9</v>
      </c>
      <c r="P57" s="3">
        <v>1945.88</v>
      </c>
    </row>
    <row r="58" spans="1:16">
      <c r="A58" t="s">
        <v>184</v>
      </c>
      <c r="B58" s="2" t="s">
        <v>97</v>
      </c>
      <c r="C58" t="s">
        <v>39</v>
      </c>
      <c r="D58" t="s">
        <v>40</v>
      </c>
      <c r="E58" t="s">
        <v>34</v>
      </c>
      <c r="F58" t="s">
        <v>35</v>
      </c>
      <c r="G58" t="s">
        <v>46</v>
      </c>
      <c r="H58" t="s">
        <v>75</v>
      </c>
      <c r="I58" t="s">
        <v>75</v>
      </c>
      <c r="J58" t="s">
        <v>61</v>
      </c>
      <c r="K58" s="3">
        <v>14</v>
      </c>
      <c r="L58" s="3">
        <v>407.17</v>
      </c>
      <c r="M58" s="3">
        <v>5700.38</v>
      </c>
      <c r="N58" s="3">
        <v>3983.32</v>
      </c>
      <c r="O58" s="3">
        <v>1717.06</v>
      </c>
      <c r="P58" s="3">
        <v>4982.8999999999996</v>
      </c>
    </row>
    <row r="59" spans="1:16">
      <c r="A59" t="s">
        <v>185</v>
      </c>
      <c r="B59" s="2" t="s">
        <v>186</v>
      </c>
      <c r="C59" t="s">
        <v>108</v>
      </c>
      <c r="D59" t="s">
        <v>40</v>
      </c>
      <c r="E59" t="s">
        <v>64</v>
      </c>
      <c r="F59" t="s">
        <v>65</v>
      </c>
      <c r="G59" t="s">
        <v>22</v>
      </c>
      <c r="H59" t="s">
        <v>36</v>
      </c>
      <c r="I59" t="s">
        <v>36</v>
      </c>
      <c r="J59" t="s">
        <v>52</v>
      </c>
      <c r="K59" s="3">
        <v>15</v>
      </c>
      <c r="L59" s="3">
        <v>103.75</v>
      </c>
      <c r="M59" s="3">
        <v>1556.25</v>
      </c>
      <c r="N59" s="3">
        <v>918.66</v>
      </c>
      <c r="O59" s="3">
        <v>637.59</v>
      </c>
      <c r="P59" s="3">
        <v>1560.02</v>
      </c>
    </row>
    <row r="60" spans="1:16">
      <c r="A60" t="s">
        <v>187</v>
      </c>
      <c r="B60" s="2" t="s">
        <v>125</v>
      </c>
      <c r="C60" t="s">
        <v>27</v>
      </c>
      <c r="D60" t="s">
        <v>19</v>
      </c>
      <c r="E60" t="s">
        <v>64</v>
      </c>
      <c r="F60" t="s">
        <v>65</v>
      </c>
      <c r="G60" t="s">
        <v>41</v>
      </c>
      <c r="H60" t="s">
        <v>42</v>
      </c>
      <c r="I60" t="s">
        <v>42</v>
      </c>
      <c r="J60" t="s">
        <v>89</v>
      </c>
      <c r="K60" s="3">
        <v>8</v>
      </c>
      <c r="L60" s="3">
        <v>8.68</v>
      </c>
      <c r="M60" s="3">
        <v>69.44</v>
      </c>
      <c r="N60" s="3">
        <v>24.79</v>
      </c>
      <c r="O60" s="3">
        <v>44.65</v>
      </c>
      <c r="P60" s="3">
        <v>61.13</v>
      </c>
    </row>
    <row r="61" spans="1:16">
      <c r="A61" t="s">
        <v>188</v>
      </c>
      <c r="B61" s="2" t="s">
        <v>189</v>
      </c>
      <c r="C61" t="s">
        <v>32</v>
      </c>
      <c r="D61" t="s">
        <v>33</v>
      </c>
      <c r="E61" t="s">
        <v>64</v>
      </c>
      <c r="F61" t="s">
        <v>65</v>
      </c>
      <c r="G61" t="s">
        <v>41</v>
      </c>
      <c r="H61" t="s">
        <v>86</v>
      </c>
      <c r="I61" t="s">
        <v>86</v>
      </c>
      <c r="J61" t="s">
        <v>52</v>
      </c>
      <c r="K61" s="3">
        <v>11</v>
      </c>
      <c r="L61" s="3">
        <v>17.98</v>
      </c>
      <c r="M61" s="3">
        <v>197.78</v>
      </c>
      <c r="N61" s="3">
        <v>85.2</v>
      </c>
      <c r="O61" s="3">
        <v>112.58</v>
      </c>
      <c r="P61" s="3">
        <v>182.8</v>
      </c>
    </row>
    <row r="62" spans="1:16">
      <c r="A62" t="s">
        <v>190</v>
      </c>
      <c r="B62" s="2" t="s">
        <v>191</v>
      </c>
      <c r="C62" t="s">
        <v>142</v>
      </c>
      <c r="D62" t="s">
        <v>33</v>
      </c>
      <c r="E62" t="s">
        <v>34</v>
      </c>
      <c r="F62" t="s">
        <v>35</v>
      </c>
      <c r="G62" t="s">
        <v>46</v>
      </c>
      <c r="H62" t="s">
        <v>47</v>
      </c>
      <c r="I62" t="s">
        <v>47</v>
      </c>
      <c r="J62" t="s">
        <v>89</v>
      </c>
      <c r="K62" s="3">
        <v>14</v>
      </c>
      <c r="L62" s="3">
        <v>284.31</v>
      </c>
      <c r="M62" s="3">
        <v>3980.34</v>
      </c>
      <c r="N62" s="3">
        <v>2656.96</v>
      </c>
      <c r="O62" s="3">
        <v>1323.38</v>
      </c>
      <c r="P62" s="3">
        <v>4439.5</v>
      </c>
    </row>
    <row r="63" spans="1:16">
      <c r="A63" t="s">
        <v>192</v>
      </c>
      <c r="B63" s="2" t="s">
        <v>193</v>
      </c>
      <c r="C63" t="s">
        <v>18</v>
      </c>
      <c r="D63" t="s">
        <v>19</v>
      </c>
      <c r="E63" t="s">
        <v>64</v>
      </c>
      <c r="F63" t="s">
        <v>65</v>
      </c>
      <c r="G63" t="s">
        <v>22</v>
      </c>
      <c r="H63" t="s">
        <v>95</v>
      </c>
      <c r="I63" t="s">
        <v>95</v>
      </c>
      <c r="J63" t="s">
        <v>61</v>
      </c>
      <c r="K63" s="3">
        <v>13</v>
      </c>
      <c r="L63" s="3">
        <v>623.25</v>
      </c>
      <c r="M63" s="3">
        <v>8102.25</v>
      </c>
      <c r="N63" s="3">
        <v>6889.65</v>
      </c>
      <c r="O63" s="3">
        <v>1212.5999999999999</v>
      </c>
      <c r="P63" s="3">
        <v>7755.25</v>
      </c>
    </row>
    <row r="64" spans="1:16">
      <c r="A64" t="s">
        <v>194</v>
      </c>
      <c r="B64" s="2" t="s">
        <v>195</v>
      </c>
      <c r="C64" t="s">
        <v>155</v>
      </c>
      <c r="D64" t="s">
        <v>82</v>
      </c>
      <c r="E64" t="s">
        <v>34</v>
      </c>
      <c r="F64" t="s">
        <v>92</v>
      </c>
      <c r="G64" t="s">
        <v>46</v>
      </c>
      <c r="H64" t="s">
        <v>78</v>
      </c>
      <c r="I64" t="s">
        <v>78</v>
      </c>
      <c r="J64" t="s">
        <v>24</v>
      </c>
      <c r="K64" s="3">
        <v>15</v>
      </c>
      <c r="L64" s="3">
        <v>189.22</v>
      </c>
      <c r="M64" s="3">
        <v>2838.3</v>
      </c>
      <c r="N64" s="3">
        <v>1758.76</v>
      </c>
      <c r="O64" s="3">
        <v>1079.54</v>
      </c>
      <c r="P64" s="3">
        <v>2662.3</v>
      </c>
    </row>
    <row r="65" spans="1:16">
      <c r="A65" t="s">
        <v>196</v>
      </c>
      <c r="B65" s="2" t="s">
        <v>197</v>
      </c>
      <c r="C65" t="s">
        <v>55</v>
      </c>
      <c r="D65" t="s">
        <v>19</v>
      </c>
      <c r="E65" t="s">
        <v>34</v>
      </c>
      <c r="F65" t="s">
        <v>35</v>
      </c>
      <c r="G65" t="s">
        <v>46</v>
      </c>
      <c r="H65" t="s">
        <v>47</v>
      </c>
      <c r="I65" t="s">
        <v>47</v>
      </c>
      <c r="J65" t="s">
        <v>52</v>
      </c>
      <c r="K65" s="3">
        <v>16</v>
      </c>
      <c r="L65" s="3">
        <v>290.88</v>
      </c>
      <c r="M65" s="3">
        <v>4654.08</v>
      </c>
      <c r="N65" s="3">
        <v>2972.06</v>
      </c>
      <c r="O65" s="3">
        <v>1682.02</v>
      </c>
      <c r="P65" s="3">
        <v>4916.3599999999997</v>
      </c>
    </row>
    <row r="66" spans="1:16">
      <c r="A66" t="s">
        <v>198</v>
      </c>
      <c r="B66" s="2" t="s">
        <v>157</v>
      </c>
      <c r="C66" t="s">
        <v>39</v>
      </c>
      <c r="D66" t="s">
        <v>40</v>
      </c>
      <c r="E66" t="s">
        <v>73</v>
      </c>
      <c r="F66" t="s">
        <v>128</v>
      </c>
      <c r="G66" t="s">
        <v>22</v>
      </c>
      <c r="H66" t="s">
        <v>60</v>
      </c>
      <c r="I66" t="s">
        <v>60</v>
      </c>
      <c r="J66" t="s">
        <v>70</v>
      </c>
      <c r="K66" s="3">
        <v>1</v>
      </c>
      <c r="L66" s="3">
        <v>51.47</v>
      </c>
      <c r="M66" s="3">
        <v>51.47</v>
      </c>
      <c r="N66" s="3">
        <v>30.62</v>
      </c>
      <c r="O66" s="3">
        <v>20.85</v>
      </c>
      <c r="P66" s="3">
        <v>46.03</v>
      </c>
    </row>
    <row r="67" spans="1:16">
      <c r="A67" t="s">
        <v>199</v>
      </c>
      <c r="B67" s="2" t="s">
        <v>200</v>
      </c>
      <c r="C67" t="s">
        <v>108</v>
      </c>
      <c r="D67" t="s">
        <v>40</v>
      </c>
      <c r="E67" t="s">
        <v>34</v>
      </c>
      <c r="F67" t="s">
        <v>123</v>
      </c>
      <c r="G67" t="s">
        <v>46</v>
      </c>
      <c r="H67" t="s">
        <v>66</v>
      </c>
      <c r="I67" t="s">
        <v>66</v>
      </c>
      <c r="J67" t="s">
        <v>89</v>
      </c>
      <c r="K67" s="3">
        <v>1</v>
      </c>
      <c r="L67" s="3">
        <v>239.33</v>
      </c>
      <c r="M67" s="3">
        <v>239.33</v>
      </c>
      <c r="N67" s="3">
        <v>161.19</v>
      </c>
      <c r="O67" s="3">
        <v>78.14</v>
      </c>
      <c r="P67" s="3">
        <v>242.75</v>
      </c>
    </row>
    <row r="68" spans="1:16">
      <c r="A68" t="s">
        <v>201</v>
      </c>
      <c r="B68" s="2" t="s">
        <v>202</v>
      </c>
      <c r="C68" t="s">
        <v>142</v>
      </c>
      <c r="D68" t="s">
        <v>33</v>
      </c>
      <c r="E68" t="s">
        <v>20</v>
      </c>
      <c r="F68" t="s">
        <v>21</v>
      </c>
      <c r="G68" t="s">
        <v>41</v>
      </c>
      <c r="H68" t="s">
        <v>86</v>
      </c>
      <c r="I68" t="s">
        <v>86</v>
      </c>
      <c r="J68" t="s">
        <v>70</v>
      </c>
      <c r="K68" s="3">
        <v>13</v>
      </c>
      <c r="L68" s="3">
        <v>19.16</v>
      </c>
      <c r="M68" s="3">
        <v>249.08</v>
      </c>
      <c r="N68" s="3">
        <v>103.91</v>
      </c>
      <c r="O68" s="3">
        <v>145.16999999999999</v>
      </c>
      <c r="P68" s="3">
        <v>262.02</v>
      </c>
    </row>
    <row r="69" spans="1:16">
      <c r="A69" t="s">
        <v>203</v>
      </c>
      <c r="B69" s="2" t="s">
        <v>204</v>
      </c>
      <c r="C69" t="s">
        <v>111</v>
      </c>
      <c r="D69" t="s">
        <v>40</v>
      </c>
      <c r="E69" t="s">
        <v>34</v>
      </c>
      <c r="F69" t="s">
        <v>35</v>
      </c>
      <c r="G69" t="s">
        <v>22</v>
      </c>
      <c r="H69" t="s">
        <v>95</v>
      </c>
      <c r="I69" t="s">
        <v>95</v>
      </c>
      <c r="J69" t="s">
        <v>57</v>
      </c>
      <c r="K69" s="3">
        <v>14</v>
      </c>
      <c r="L69" s="3">
        <v>657.55</v>
      </c>
      <c r="M69" s="3">
        <v>9205.7000000000007</v>
      </c>
      <c r="N69" s="3">
        <v>7357.4</v>
      </c>
      <c r="O69" s="3">
        <v>1848.3</v>
      </c>
      <c r="P69" s="3">
        <v>10372.61</v>
      </c>
    </row>
    <row r="70" spans="1:16">
      <c r="A70" t="s">
        <v>205</v>
      </c>
      <c r="B70" s="2" t="s">
        <v>206</v>
      </c>
      <c r="C70" t="s">
        <v>81</v>
      </c>
      <c r="D70" t="s">
        <v>82</v>
      </c>
      <c r="E70" t="s">
        <v>64</v>
      </c>
      <c r="F70" t="s">
        <v>65</v>
      </c>
      <c r="G70" t="s">
        <v>41</v>
      </c>
      <c r="H70" t="s">
        <v>51</v>
      </c>
      <c r="I70" t="s">
        <v>51</v>
      </c>
      <c r="J70" t="s">
        <v>24</v>
      </c>
      <c r="K70" s="3">
        <v>20</v>
      </c>
      <c r="L70" s="3">
        <v>21.14</v>
      </c>
      <c r="M70" s="3">
        <v>422.8</v>
      </c>
      <c r="N70" s="3">
        <v>191.2</v>
      </c>
      <c r="O70" s="3">
        <v>231.6</v>
      </c>
      <c r="P70" s="3">
        <v>501.46</v>
      </c>
    </row>
    <row r="71" spans="1:16">
      <c r="A71" t="s">
        <v>207</v>
      </c>
      <c r="B71" s="2" t="s">
        <v>63</v>
      </c>
      <c r="C71" t="s">
        <v>32</v>
      </c>
      <c r="D71" t="s">
        <v>33</v>
      </c>
      <c r="E71" t="s">
        <v>73</v>
      </c>
      <c r="F71" t="s">
        <v>128</v>
      </c>
      <c r="G71" t="s">
        <v>46</v>
      </c>
      <c r="H71" t="s">
        <v>75</v>
      </c>
      <c r="I71" t="s">
        <v>75</v>
      </c>
      <c r="J71" t="s">
        <v>29</v>
      </c>
      <c r="K71" s="3">
        <v>6</v>
      </c>
      <c r="L71" s="3">
        <v>391.19</v>
      </c>
      <c r="M71" s="3">
        <v>2347.14</v>
      </c>
      <c r="N71" s="3">
        <v>1688.73</v>
      </c>
      <c r="O71" s="3">
        <v>658.41</v>
      </c>
      <c r="P71" s="3">
        <v>2123.66</v>
      </c>
    </row>
    <row r="72" spans="1:16">
      <c r="A72" t="s">
        <v>208</v>
      </c>
      <c r="B72" s="2" t="s">
        <v>209</v>
      </c>
      <c r="C72" t="s">
        <v>155</v>
      </c>
      <c r="D72" t="s">
        <v>82</v>
      </c>
      <c r="E72" t="s">
        <v>64</v>
      </c>
      <c r="F72" t="s">
        <v>145</v>
      </c>
      <c r="G72" t="s">
        <v>22</v>
      </c>
      <c r="H72" t="s">
        <v>23</v>
      </c>
      <c r="I72" t="s">
        <v>23</v>
      </c>
      <c r="J72" t="s">
        <v>57</v>
      </c>
      <c r="K72" s="3">
        <v>10</v>
      </c>
      <c r="L72" s="3">
        <v>268.13</v>
      </c>
      <c r="M72" s="3">
        <v>2681.3</v>
      </c>
      <c r="N72" s="3">
        <v>2040.6</v>
      </c>
      <c r="O72" s="3">
        <v>640.70000000000005</v>
      </c>
      <c r="P72" s="3">
        <v>2705.19</v>
      </c>
    </row>
    <row r="73" spans="1:16">
      <c r="A73" t="s">
        <v>210</v>
      </c>
      <c r="B73" s="2" t="s">
        <v>211</v>
      </c>
      <c r="C73" t="s">
        <v>114</v>
      </c>
      <c r="D73" t="s">
        <v>33</v>
      </c>
      <c r="E73" t="s">
        <v>73</v>
      </c>
      <c r="F73" t="s">
        <v>74</v>
      </c>
      <c r="G73" t="s">
        <v>22</v>
      </c>
      <c r="H73" t="s">
        <v>23</v>
      </c>
      <c r="I73" t="s">
        <v>23</v>
      </c>
      <c r="J73" t="s">
        <v>84</v>
      </c>
      <c r="K73" s="3">
        <v>9</v>
      </c>
      <c r="L73" s="3">
        <v>288.27</v>
      </c>
      <c r="M73" s="3">
        <v>2594.4299999999998</v>
      </c>
      <c r="N73" s="3">
        <v>1858.79</v>
      </c>
      <c r="O73" s="3">
        <v>735.64</v>
      </c>
      <c r="P73" s="3">
        <v>2270.11</v>
      </c>
    </row>
    <row r="74" spans="1:16">
      <c r="A74" t="s">
        <v>212</v>
      </c>
      <c r="B74" s="2" t="s">
        <v>213</v>
      </c>
      <c r="C74" t="s">
        <v>114</v>
      </c>
      <c r="D74" t="s">
        <v>33</v>
      </c>
      <c r="E74" t="s">
        <v>34</v>
      </c>
      <c r="F74" t="s">
        <v>92</v>
      </c>
      <c r="G74" t="s">
        <v>22</v>
      </c>
      <c r="H74" t="s">
        <v>36</v>
      </c>
      <c r="I74" t="s">
        <v>36</v>
      </c>
      <c r="J74" t="s">
        <v>89</v>
      </c>
      <c r="K74" s="3">
        <v>13</v>
      </c>
      <c r="L74" s="3">
        <v>98.58</v>
      </c>
      <c r="M74" s="3">
        <v>1281.54</v>
      </c>
      <c r="N74" s="3">
        <v>814.53</v>
      </c>
      <c r="O74" s="3">
        <v>467.01</v>
      </c>
      <c r="P74" s="3">
        <v>1313.79</v>
      </c>
    </row>
    <row r="75" spans="1:16">
      <c r="A75" t="s">
        <v>214</v>
      </c>
      <c r="B75" s="2" t="s">
        <v>215</v>
      </c>
      <c r="C75" t="s">
        <v>155</v>
      </c>
      <c r="D75" t="s">
        <v>82</v>
      </c>
      <c r="E75" t="s">
        <v>20</v>
      </c>
      <c r="F75" t="s">
        <v>50</v>
      </c>
      <c r="G75" t="s">
        <v>46</v>
      </c>
      <c r="H75" t="s">
        <v>78</v>
      </c>
      <c r="I75" t="s">
        <v>78</v>
      </c>
      <c r="J75" t="s">
        <v>70</v>
      </c>
      <c r="K75" s="3">
        <v>1</v>
      </c>
      <c r="L75" s="3">
        <v>199.04</v>
      </c>
      <c r="M75" s="3">
        <v>199.04</v>
      </c>
      <c r="N75" s="3">
        <v>115.1</v>
      </c>
      <c r="O75" s="3">
        <v>83.94</v>
      </c>
      <c r="P75" s="3">
        <v>236.19</v>
      </c>
    </row>
    <row r="76" spans="1:16">
      <c r="A76" t="s">
        <v>216</v>
      </c>
      <c r="B76" s="2" t="s">
        <v>217</v>
      </c>
      <c r="C76" t="s">
        <v>18</v>
      </c>
      <c r="D76" t="s">
        <v>19</v>
      </c>
      <c r="E76" t="s">
        <v>34</v>
      </c>
      <c r="F76" t="s">
        <v>35</v>
      </c>
      <c r="G76" t="s">
        <v>22</v>
      </c>
      <c r="H76" t="s">
        <v>36</v>
      </c>
      <c r="I76" t="s">
        <v>36</v>
      </c>
      <c r="J76" t="s">
        <v>29</v>
      </c>
      <c r="K76" s="3">
        <v>15</v>
      </c>
      <c r="L76" s="3">
        <v>95.36</v>
      </c>
      <c r="M76" s="3">
        <v>1430.4</v>
      </c>
      <c r="N76" s="3">
        <v>937.45</v>
      </c>
      <c r="O76" s="3">
        <v>492.95</v>
      </c>
      <c r="P76" s="3">
        <v>1306.7</v>
      </c>
    </row>
    <row r="77" spans="1:16">
      <c r="A77" t="s">
        <v>218</v>
      </c>
      <c r="B77" s="2" t="s">
        <v>217</v>
      </c>
      <c r="C77" t="s">
        <v>18</v>
      </c>
      <c r="D77" t="s">
        <v>19</v>
      </c>
      <c r="E77" t="s">
        <v>64</v>
      </c>
      <c r="F77" t="s">
        <v>103</v>
      </c>
      <c r="G77" t="s">
        <v>41</v>
      </c>
      <c r="H77" t="s">
        <v>42</v>
      </c>
      <c r="I77" t="s">
        <v>42</v>
      </c>
      <c r="J77" t="s">
        <v>61</v>
      </c>
      <c r="K77" s="3">
        <v>11</v>
      </c>
      <c r="L77" s="3">
        <v>8.84</v>
      </c>
      <c r="M77" s="3">
        <v>97.24</v>
      </c>
      <c r="N77" s="3">
        <v>33.56</v>
      </c>
      <c r="O77" s="3">
        <v>63.68</v>
      </c>
      <c r="P77" s="3">
        <v>111.85</v>
      </c>
    </row>
    <row r="78" spans="1:16">
      <c r="A78" t="s">
        <v>219</v>
      </c>
      <c r="B78" s="2" t="s">
        <v>220</v>
      </c>
      <c r="C78" t="s">
        <v>102</v>
      </c>
      <c r="D78" t="s">
        <v>82</v>
      </c>
      <c r="E78" t="s">
        <v>64</v>
      </c>
      <c r="F78" t="s">
        <v>145</v>
      </c>
      <c r="G78" t="s">
        <v>46</v>
      </c>
      <c r="H78" t="s">
        <v>66</v>
      </c>
      <c r="I78" t="s">
        <v>66</v>
      </c>
      <c r="J78" t="s">
        <v>52</v>
      </c>
      <c r="K78" s="3">
        <v>18</v>
      </c>
      <c r="L78" s="3">
        <v>276.31</v>
      </c>
      <c r="M78" s="3">
        <v>4973.58</v>
      </c>
      <c r="N78" s="3">
        <v>2746.57</v>
      </c>
      <c r="O78" s="3">
        <v>2227.0100000000002</v>
      </c>
      <c r="P78" s="3">
        <v>4380.83</v>
      </c>
    </row>
    <row r="79" spans="1:16">
      <c r="A79" t="s">
        <v>221</v>
      </c>
      <c r="B79" s="2" t="s">
        <v>222</v>
      </c>
      <c r="C79" t="s">
        <v>142</v>
      </c>
      <c r="D79" t="s">
        <v>33</v>
      </c>
      <c r="E79" t="s">
        <v>64</v>
      </c>
      <c r="F79" t="s">
        <v>103</v>
      </c>
      <c r="G79" t="s">
        <v>46</v>
      </c>
      <c r="H79" t="s">
        <v>66</v>
      </c>
      <c r="I79" t="s">
        <v>66</v>
      </c>
      <c r="J79" t="s">
        <v>89</v>
      </c>
      <c r="K79" s="3">
        <v>7</v>
      </c>
      <c r="L79" s="3">
        <v>255.49</v>
      </c>
      <c r="M79" s="3">
        <v>1788.43</v>
      </c>
      <c r="N79" s="3">
        <v>1122.07</v>
      </c>
      <c r="O79" s="3">
        <v>666.36</v>
      </c>
      <c r="P79" s="3">
        <v>1909.9</v>
      </c>
    </row>
    <row r="80" spans="1:16">
      <c r="A80" t="s">
        <v>223</v>
      </c>
      <c r="B80" s="2" t="s">
        <v>224</v>
      </c>
      <c r="C80" t="s">
        <v>18</v>
      </c>
      <c r="D80" t="s">
        <v>19</v>
      </c>
      <c r="E80" t="s">
        <v>20</v>
      </c>
      <c r="F80" t="s">
        <v>56</v>
      </c>
      <c r="G80" t="s">
        <v>41</v>
      </c>
      <c r="H80" t="s">
        <v>69</v>
      </c>
      <c r="I80" t="s">
        <v>69</v>
      </c>
      <c r="J80" t="s">
        <v>70</v>
      </c>
      <c r="K80" s="3">
        <v>15</v>
      </c>
      <c r="L80" s="3">
        <v>13.03</v>
      </c>
      <c r="M80" s="3">
        <v>195.45</v>
      </c>
      <c r="N80" s="3">
        <v>62.29</v>
      </c>
      <c r="O80" s="3">
        <v>133.16</v>
      </c>
      <c r="P80" s="3">
        <v>199.29</v>
      </c>
    </row>
    <row r="81" spans="1:16">
      <c r="A81" t="s">
        <v>225</v>
      </c>
      <c r="B81" s="2" t="s">
        <v>226</v>
      </c>
      <c r="C81" t="s">
        <v>18</v>
      </c>
      <c r="D81" t="s">
        <v>19</v>
      </c>
      <c r="E81" t="s">
        <v>73</v>
      </c>
      <c r="F81" t="s">
        <v>137</v>
      </c>
      <c r="G81" t="s">
        <v>41</v>
      </c>
      <c r="H81" t="s">
        <v>86</v>
      </c>
      <c r="I81" t="s">
        <v>86</v>
      </c>
      <c r="J81" t="s">
        <v>24</v>
      </c>
      <c r="K81" s="3">
        <v>3</v>
      </c>
      <c r="L81" s="3">
        <v>18.190000000000001</v>
      </c>
      <c r="M81" s="3">
        <v>54.57</v>
      </c>
      <c r="N81" s="3">
        <v>23.34</v>
      </c>
      <c r="O81" s="3">
        <v>31.23</v>
      </c>
      <c r="P81" s="3">
        <v>62.45</v>
      </c>
    </row>
    <row r="82" spans="1:16">
      <c r="A82" t="s">
        <v>227</v>
      </c>
      <c r="B82" s="2" t="s">
        <v>228</v>
      </c>
      <c r="C82" t="s">
        <v>155</v>
      </c>
      <c r="D82" t="s">
        <v>82</v>
      </c>
      <c r="E82" t="s">
        <v>73</v>
      </c>
      <c r="F82" t="s">
        <v>74</v>
      </c>
      <c r="G82" t="s">
        <v>46</v>
      </c>
      <c r="H82" t="s">
        <v>78</v>
      </c>
      <c r="I82" t="s">
        <v>78</v>
      </c>
      <c r="J82" t="s">
        <v>89</v>
      </c>
      <c r="K82" s="3">
        <v>9</v>
      </c>
      <c r="L82" s="3">
        <v>195.35</v>
      </c>
      <c r="M82" s="3">
        <v>1758.15</v>
      </c>
      <c r="N82" s="3">
        <v>1070.8699999999999</v>
      </c>
      <c r="O82" s="3">
        <v>687.28</v>
      </c>
      <c r="P82" s="3">
        <v>1791.33</v>
      </c>
    </row>
    <row r="83" spans="1:16">
      <c r="A83" t="s">
        <v>229</v>
      </c>
      <c r="B83" s="2" t="s">
        <v>31</v>
      </c>
      <c r="C83" t="s">
        <v>32</v>
      </c>
      <c r="D83" t="s">
        <v>33</v>
      </c>
      <c r="E83" t="s">
        <v>73</v>
      </c>
      <c r="F83" t="s">
        <v>74</v>
      </c>
      <c r="G83" t="s">
        <v>22</v>
      </c>
      <c r="H83" t="s">
        <v>23</v>
      </c>
      <c r="I83" t="s">
        <v>23</v>
      </c>
      <c r="J83" t="s">
        <v>61</v>
      </c>
      <c r="K83" s="3">
        <v>9</v>
      </c>
      <c r="L83" s="3">
        <v>300.39</v>
      </c>
      <c r="M83" s="3">
        <v>2703.51</v>
      </c>
      <c r="N83" s="3">
        <v>1849.08</v>
      </c>
      <c r="O83" s="3">
        <v>854.43</v>
      </c>
      <c r="P83" s="3">
        <v>3106.45</v>
      </c>
    </row>
    <row r="84" spans="1:16">
      <c r="A84" t="s">
        <v>230</v>
      </c>
      <c r="B84" s="2" t="s">
        <v>231</v>
      </c>
      <c r="C84" t="s">
        <v>81</v>
      </c>
      <c r="D84" t="s">
        <v>82</v>
      </c>
      <c r="E84" t="s">
        <v>20</v>
      </c>
      <c r="F84" t="s">
        <v>21</v>
      </c>
      <c r="G84" t="s">
        <v>46</v>
      </c>
      <c r="H84" t="s">
        <v>78</v>
      </c>
      <c r="I84" t="s">
        <v>78</v>
      </c>
      <c r="J84" t="s">
        <v>84</v>
      </c>
      <c r="K84" s="3">
        <v>19</v>
      </c>
      <c r="L84" s="3">
        <v>208.16</v>
      </c>
      <c r="M84" s="3">
        <v>3955.04</v>
      </c>
      <c r="N84" s="3">
        <v>2393.75</v>
      </c>
      <c r="O84" s="3">
        <v>1561.29</v>
      </c>
      <c r="P84" s="3">
        <v>4039.58</v>
      </c>
    </row>
    <row r="85" spans="1:16">
      <c r="A85" t="s">
        <v>232</v>
      </c>
      <c r="B85" s="2" t="s">
        <v>195</v>
      </c>
      <c r="C85" t="s">
        <v>155</v>
      </c>
      <c r="D85" t="s">
        <v>82</v>
      </c>
      <c r="E85" t="s">
        <v>64</v>
      </c>
      <c r="F85" t="s">
        <v>145</v>
      </c>
      <c r="G85" t="s">
        <v>41</v>
      </c>
      <c r="H85" t="s">
        <v>51</v>
      </c>
      <c r="I85" t="s">
        <v>51</v>
      </c>
      <c r="J85" t="s">
        <v>57</v>
      </c>
      <c r="K85" s="3">
        <v>11</v>
      </c>
      <c r="L85" s="3">
        <v>21.8</v>
      </c>
      <c r="M85" s="3">
        <v>239.8</v>
      </c>
      <c r="N85" s="3">
        <v>114.07</v>
      </c>
      <c r="O85" s="3">
        <v>125.73</v>
      </c>
      <c r="P85" s="3">
        <v>286.14999999999998</v>
      </c>
    </row>
    <row r="86" spans="1:16">
      <c r="A86" t="s">
        <v>233</v>
      </c>
      <c r="B86" s="2" t="s">
        <v>234</v>
      </c>
      <c r="C86" t="s">
        <v>27</v>
      </c>
      <c r="D86" t="s">
        <v>19</v>
      </c>
      <c r="E86" t="s">
        <v>73</v>
      </c>
      <c r="F86" t="s">
        <v>74</v>
      </c>
      <c r="G86" t="s">
        <v>22</v>
      </c>
      <c r="H86" t="s">
        <v>60</v>
      </c>
      <c r="I86" t="s">
        <v>60</v>
      </c>
      <c r="J86" t="s">
        <v>84</v>
      </c>
      <c r="K86" s="3">
        <v>13</v>
      </c>
      <c r="L86" s="3">
        <v>57.69</v>
      </c>
      <c r="M86" s="3">
        <v>749.97</v>
      </c>
      <c r="N86" s="3">
        <v>385.56</v>
      </c>
      <c r="O86" s="3">
        <v>364.41</v>
      </c>
      <c r="P86" s="3">
        <v>811.69</v>
      </c>
    </row>
    <row r="87" spans="1:16">
      <c r="A87" t="s">
        <v>235</v>
      </c>
      <c r="B87" s="2" t="s">
        <v>236</v>
      </c>
      <c r="C87" t="s">
        <v>155</v>
      </c>
      <c r="D87" t="s">
        <v>82</v>
      </c>
      <c r="E87" t="s">
        <v>73</v>
      </c>
      <c r="F87" t="s">
        <v>128</v>
      </c>
      <c r="G87" t="s">
        <v>22</v>
      </c>
      <c r="H87" t="s">
        <v>36</v>
      </c>
      <c r="I87" t="s">
        <v>36</v>
      </c>
      <c r="J87" t="s">
        <v>84</v>
      </c>
      <c r="K87" s="3">
        <v>15</v>
      </c>
      <c r="L87" s="3">
        <v>87.39</v>
      </c>
      <c r="M87" s="3">
        <v>1310.85</v>
      </c>
      <c r="N87" s="3">
        <v>856.38</v>
      </c>
      <c r="O87" s="3">
        <v>454.47</v>
      </c>
      <c r="P87" s="3">
        <v>1180.3599999999999</v>
      </c>
    </row>
    <row r="88" spans="1:16">
      <c r="A88" t="s">
        <v>237</v>
      </c>
      <c r="B88" s="2" t="s">
        <v>238</v>
      </c>
      <c r="C88" t="s">
        <v>39</v>
      </c>
      <c r="D88" t="s">
        <v>40</v>
      </c>
      <c r="E88" t="s">
        <v>34</v>
      </c>
      <c r="F88" t="s">
        <v>45</v>
      </c>
      <c r="G88" t="s">
        <v>46</v>
      </c>
      <c r="H88" t="s">
        <v>66</v>
      </c>
      <c r="I88" t="s">
        <v>66</v>
      </c>
      <c r="J88" t="s">
        <v>29</v>
      </c>
      <c r="K88" s="3">
        <v>11</v>
      </c>
      <c r="L88" s="3">
        <v>267.79000000000002</v>
      </c>
      <c r="M88" s="3">
        <v>2945.69</v>
      </c>
      <c r="N88" s="3">
        <v>1822.01</v>
      </c>
      <c r="O88" s="3">
        <v>1123.68</v>
      </c>
      <c r="P88" s="3">
        <v>3389.81</v>
      </c>
    </row>
    <row r="89" spans="1:16">
      <c r="A89" t="s">
        <v>239</v>
      </c>
      <c r="B89" s="2" t="s">
        <v>144</v>
      </c>
      <c r="C89" t="s">
        <v>142</v>
      </c>
      <c r="D89" t="s">
        <v>33</v>
      </c>
      <c r="E89" t="s">
        <v>64</v>
      </c>
      <c r="F89" t="s">
        <v>103</v>
      </c>
      <c r="G89" t="s">
        <v>46</v>
      </c>
      <c r="H89" t="s">
        <v>75</v>
      </c>
      <c r="I89" t="s">
        <v>75</v>
      </c>
      <c r="J89" t="s">
        <v>29</v>
      </c>
      <c r="K89" s="3">
        <v>10</v>
      </c>
      <c r="L89" s="3">
        <v>397.72</v>
      </c>
      <c r="M89" s="3">
        <v>3977.2</v>
      </c>
      <c r="N89" s="3">
        <v>2939.28</v>
      </c>
      <c r="O89" s="3">
        <v>1037.92</v>
      </c>
      <c r="P89" s="3">
        <v>4420.13</v>
      </c>
    </row>
    <row r="90" spans="1:16">
      <c r="A90" t="s">
        <v>240</v>
      </c>
      <c r="B90" s="2" t="s">
        <v>241</v>
      </c>
      <c r="C90" t="s">
        <v>39</v>
      </c>
      <c r="D90" t="s">
        <v>40</v>
      </c>
      <c r="E90" t="s">
        <v>20</v>
      </c>
      <c r="F90" t="s">
        <v>50</v>
      </c>
      <c r="G90" t="s">
        <v>22</v>
      </c>
      <c r="H90" t="s">
        <v>60</v>
      </c>
      <c r="I90" t="s">
        <v>60</v>
      </c>
      <c r="J90" t="s">
        <v>61</v>
      </c>
      <c r="K90" s="3">
        <v>2</v>
      </c>
      <c r="L90" s="3">
        <v>59.44</v>
      </c>
      <c r="M90" s="3">
        <v>118.88</v>
      </c>
      <c r="N90" s="3">
        <v>58.95</v>
      </c>
      <c r="O90" s="3">
        <v>59.93</v>
      </c>
      <c r="P90" s="3">
        <v>103.38</v>
      </c>
    </row>
    <row r="91" spans="1:16">
      <c r="A91" t="s">
        <v>242</v>
      </c>
      <c r="B91" s="2" t="s">
        <v>243</v>
      </c>
      <c r="C91" t="s">
        <v>142</v>
      </c>
      <c r="D91" t="s">
        <v>33</v>
      </c>
      <c r="E91" t="s">
        <v>73</v>
      </c>
      <c r="F91" t="s">
        <v>137</v>
      </c>
      <c r="G91" t="s">
        <v>46</v>
      </c>
      <c r="H91" t="s">
        <v>66</v>
      </c>
      <c r="I91" t="s">
        <v>66</v>
      </c>
      <c r="J91" t="s">
        <v>29</v>
      </c>
      <c r="K91" s="3">
        <v>6</v>
      </c>
      <c r="L91" s="3">
        <v>263.43</v>
      </c>
      <c r="M91" s="3">
        <v>1580.58</v>
      </c>
      <c r="N91" s="3">
        <v>928.32</v>
      </c>
      <c r="O91" s="3">
        <v>652.26</v>
      </c>
      <c r="P91" s="3">
        <v>1387.18</v>
      </c>
    </row>
    <row r="92" spans="1:16">
      <c r="A92" t="s">
        <v>244</v>
      </c>
      <c r="B92" s="2" t="s">
        <v>245</v>
      </c>
      <c r="C92" t="s">
        <v>27</v>
      </c>
      <c r="D92" t="s">
        <v>19</v>
      </c>
      <c r="E92" t="s">
        <v>73</v>
      </c>
      <c r="F92" t="s">
        <v>74</v>
      </c>
      <c r="G92" t="s">
        <v>46</v>
      </c>
      <c r="H92" t="s">
        <v>47</v>
      </c>
      <c r="I92" t="s">
        <v>47</v>
      </c>
      <c r="J92" t="s">
        <v>89</v>
      </c>
      <c r="K92" s="3">
        <v>9</v>
      </c>
      <c r="L92" s="3">
        <v>293.39999999999998</v>
      </c>
      <c r="M92" s="3">
        <v>2640.6</v>
      </c>
      <c r="N92" s="3">
        <v>1703.09</v>
      </c>
      <c r="O92" s="3">
        <v>937.51</v>
      </c>
      <c r="P92" s="3">
        <v>2860.81</v>
      </c>
    </row>
    <row r="93" spans="1:16">
      <c r="A93" t="s">
        <v>246</v>
      </c>
      <c r="B93" s="2" t="s">
        <v>247</v>
      </c>
      <c r="C93" t="s">
        <v>114</v>
      </c>
      <c r="D93" t="s">
        <v>33</v>
      </c>
      <c r="E93" t="s">
        <v>73</v>
      </c>
      <c r="F93" t="s">
        <v>83</v>
      </c>
      <c r="G93" t="s">
        <v>41</v>
      </c>
      <c r="H93" t="s">
        <v>42</v>
      </c>
      <c r="I93" t="s">
        <v>42</v>
      </c>
      <c r="J93" t="s">
        <v>52</v>
      </c>
      <c r="K93" s="3">
        <v>10</v>
      </c>
      <c r="L93" s="3">
        <v>9.8800000000000008</v>
      </c>
      <c r="M93" s="3">
        <v>98.8</v>
      </c>
      <c r="N93" s="3">
        <v>30.42</v>
      </c>
      <c r="O93" s="3">
        <v>68.38</v>
      </c>
      <c r="P93" s="3">
        <v>98.65</v>
      </c>
    </row>
    <row r="94" spans="1:16">
      <c r="A94" t="s">
        <v>248</v>
      </c>
      <c r="B94" s="2" t="s">
        <v>249</v>
      </c>
      <c r="C94" t="s">
        <v>155</v>
      </c>
      <c r="D94" t="s">
        <v>82</v>
      </c>
      <c r="E94" t="s">
        <v>34</v>
      </c>
      <c r="F94" t="s">
        <v>123</v>
      </c>
      <c r="G94" t="s">
        <v>41</v>
      </c>
      <c r="H94" t="s">
        <v>51</v>
      </c>
      <c r="I94" t="s">
        <v>51</v>
      </c>
      <c r="J94" t="s">
        <v>52</v>
      </c>
      <c r="K94" s="3">
        <v>13</v>
      </c>
      <c r="L94" s="3">
        <v>20.27</v>
      </c>
      <c r="M94" s="3">
        <v>263.51</v>
      </c>
      <c r="N94" s="3">
        <v>130.93</v>
      </c>
      <c r="O94" s="3">
        <v>132.58000000000001</v>
      </c>
      <c r="P94" s="3">
        <v>277</v>
      </c>
    </row>
    <row r="95" spans="1:16">
      <c r="A95" t="s">
        <v>250</v>
      </c>
      <c r="B95" s="2" t="s">
        <v>251</v>
      </c>
      <c r="C95" t="s">
        <v>108</v>
      </c>
      <c r="D95" t="s">
        <v>40</v>
      </c>
      <c r="E95" t="s">
        <v>64</v>
      </c>
      <c r="F95" t="s">
        <v>145</v>
      </c>
      <c r="G95" t="s">
        <v>22</v>
      </c>
      <c r="H95" t="s">
        <v>95</v>
      </c>
      <c r="I95" t="s">
        <v>95</v>
      </c>
      <c r="J95" t="s">
        <v>57</v>
      </c>
      <c r="K95" s="3">
        <v>16</v>
      </c>
      <c r="L95" s="3">
        <v>703.38</v>
      </c>
      <c r="M95" s="3">
        <v>11254.08</v>
      </c>
      <c r="N95" s="3">
        <v>8596.92</v>
      </c>
      <c r="O95" s="3">
        <v>2657.16</v>
      </c>
      <c r="P95" s="3">
        <v>13122.56</v>
      </c>
    </row>
    <row r="96" spans="1:16">
      <c r="A96" t="s">
        <v>252</v>
      </c>
      <c r="B96" s="2" t="s">
        <v>125</v>
      </c>
      <c r="C96" t="s">
        <v>27</v>
      </c>
      <c r="D96" t="s">
        <v>19</v>
      </c>
      <c r="E96" t="s">
        <v>34</v>
      </c>
      <c r="F96" t="s">
        <v>123</v>
      </c>
      <c r="G96" t="s">
        <v>46</v>
      </c>
      <c r="H96" t="s">
        <v>47</v>
      </c>
      <c r="I96" t="s">
        <v>47</v>
      </c>
      <c r="J96" t="s">
        <v>70</v>
      </c>
      <c r="K96" s="3">
        <v>5</v>
      </c>
      <c r="L96" s="3">
        <v>317.5</v>
      </c>
      <c r="M96" s="3">
        <v>1587.5</v>
      </c>
      <c r="N96" s="3">
        <v>962.18</v>
      </c>
      <c r="O96" s="3">
        <v>625.32000000000005</v>
      </c>
      <c r="P96" s="3">
        <v>1851.33</v>
      </c>
    </row>
    <row r="97" spans="1:16">
      <c r="A97" t="s">
        <v>253</v>
      </c>
      <c r="B97" s="2" t="s">
        <v>211</v>
      </c>
      <c r="C97" t="s">
        <v>114</v>
      </c>
      <c r="D97" t="s">
        <v>33</v>
      </c>
      <c r="E97" t="s">
        <v>64</v>
      </c>
      <c r="F97" t="s">
        <v>103</v>
      </c>
      <c r="G97" t="s">
        <v>46</v>
      </c>
      <c r="H97" t="s">
        <v>78</v>
      </c>
      <c r="I97" t="s">
        <v>78</v>
      </c>
      <c r="J97" t="s">
        <v>29</v>
      </c>
      <c r="K97" s="3">
        <v>3</v>
      </c>
      <c r="L97" s="3">
        <v>204.06</v>
      </c>
      <c r="M97" s="3">
        <v>612.17999999999995</v>
      </c>
      <c r="N97" s="3">
        <v>374.75</v>
      </c>
      <c r="O97" s="3">
        <v>237.43</v>
      </c>
      <c r="P97" s="3">
        <v>590.36</v>
      </c>
    </row>
    <row r="98" spans="1:16">
      <c r="A98" t="s">
        <v>254</v>
      </c>
      <c r="B98" s="2" t="s">
        <v>255</v>
      </c>
      <c r="C98" t="s">
        <v>111</v>
      </c>
      <c r="D98" t="s">
        <v>40</v>
      </c>
      <c r="E98" t="s">
        <v>73</v>
      </c>
      <c r="F98" t="s">
        <v>128</v>
      </c>
      <c r="G98" t="s">
        <v>46</v>
      </c>
      <c r="H98" t="s">
        <v>78</v>
      </c>
      <c r="I98" t="s">
        <v>78</v>
      </c>
      <c r="J98" t="s">
        <v>52</v>
      </c>
      <c r="K98" s="3">
        <v>9</v>
      </c>
      <c r="L98" s="3">
        <v>207.89</v>
      </c>
      <c r="M98" s="3">
        <v>1871.01</v>
      </c>
      <c r="N98" s="3">
        <v>1124.72</v>
      </c>
      <c r="O98" s="3">
        <v>746.29</v>
      </c>
      <c r="P98" s="3">
        <v>2208.66</v>
      </c>
    </row>
    <row r="99" spans="1:16">
      <c r="A99" t="s">
        <v>256</v>
      </c>
      <c r="B99" s="2" t="s">
        <v>257</v>
      </c>
      <c r="C99" t="s">
        <v>55</v>
      </c>
      <c r="D99" t="s">
        <v>19</v>
      </c>
      <c r="E99" t="s">
        <v>34</v>
      </c>
      <c r="F99" t="s">
        <v>35</v>
      </c>
      <c r="G99" t="s">
        <v>41</v>
      </c>
      <c r="H99" t="s">
        <v>86</v>
      </c>
      <c r="I99" t="s">
        <v>86</v>
      </c>
      <c r="J99" t="s">
        <v>29</v>
      </c>
      <c r="K99" s="3">
        <v>8</v>
      </c>
      <c r="L99" s="3">
        <v>16.71</v>
      </c>
      <c r="M99" s="3">
        <v>133.68</v>
      </c>
      <c r="N99" s="3">
        <v>66.3</v>
      </c>
      <c r="O99" s="3">
        <v>67.38</v>
      </c>
      <c r="P99" s="3">
        <v>147.51</v>
      </c>
    </row>
    <row r="100" spans="1:16">
      <c r="A100" t="s">
        <v>258</v>
      </c>
      <c r="B100" s="2" t="s">
        <v>259</v>
      </c>
      <c r="C100" t="s">
        <v>81</v>
      </c>
      <c r="D100" t="s">
        <v>82</v>
      </c>
      <c r="E100" t="s">
        <v>20</v>
      </c>
      <c r="F100" t="s">
        <v>50</v>
      </c>
      <c r="G100" t="s">
        <v>22</v>
      </c>
      <c r="H100" t="s">
        <v>60</v>
      </c>
      <c r="I100" t="s">
        <v>60</v>
      </c>
      <c r="J100" t="s">
        <v>52</v>
      </c>
      <c r="K100" s="3">
        <v>15</v>
      </c>
      <c r="L100" s="3">
        <v>55.4</v>
      </c>
      <c r="M100" s="3">
        <v>831</v>
      </c>
      <c r="N100" s="3">
        <v>444.09</v>
      </c>
      <c r="O100" s="3">
        <v>386.91</v>
      </c>
      <c r="P100" s="3">
        <v>924.2</v>
      </c>
    </row>
    <row r="101" spans="1:16">
      <c r="A101" t="s">
        <v>260</v>
      </c>
      <c r="B101" s="2" t="s">
        <v>234</v>
      </c>
      <c r="C101" t="s">
        <v>27</v>
      </c>
      <c r="D101" t="s">
        <v>19</v>
      </c>
      <c r="E101" t="s">
        <v>34</v>
      </c>
      <c r="F101" t="s">
        <v>35</v>
      </c>
      <c r="G101" t="s">
        <v>46</v>
      </c>
      <c r="H101" t="s">
        <v>47</v>
      </c>
      <c r="I101" t="s">
        <v>47</v>
      </c>
      <c r="J101" t="s">
        <v>57</v>
      </c>
      <c r="K101" s="3">
        <v>20</v>
      </c>
      <c r="L101" s="3">
        <v>308.23</v>
      </c>
      <c r="M101" s="3">
        <v>6164.6</v>
      </c>
      <c r="N101" s="3">
        <v>3946.01</v>
      </c>
      <c r="O101" s="3">
        <v>2218.59</v>
      </c>
      <c r="P101" s="3">
        <v>6451.21</v>
      </c>
    </row>
    <row r="102" spans="1:16">
      <c r="A102" t="s">
        <v>261</v>
      </c>
      <c r="B102" s="2" t="s">
        <v>179</v>
      </c>
      <c r="C102" t="s">
        <v>18</v>
      </c>
      <c r="D102" t="s">
        <v>19</v>
      </c>
      <c r="E102" t="s">
        <v>64</v>
      </c>
      <c r="F102" t="s">
        <v>145</v>
      </c>
      <c r="G102" t="s">
        <v>46</v>
      </c>
      <c r="H102" t="s">
        <v>66</v>
      </c>
      <c r="I102" t="s">
        <v>66</v>
      </c>
      <c r="J102" t="s">
        <v>89</v>
      </c>
      <c r="K102" s="3">
        <v>2</v>
      </c>
      <c r="L102" s="3">
        <v>240.07</v>
      </c>
      <c r="M102" s="3">
        <v>480.14</v>
      </c>
      <c r="N102" s="3">
        <v>334.28</v>
      </c>
      <c r="O102" s="3">
        <v>145.86000000000001</v>
      </c>
      <c r="P102" s="3">
        <v>459.27</v>
      </c>
    </row>
    <row r="103" spans="1:16">
      <c r="A103" t="s">
        <v>262</v>
      </c>
      <c r="B103" s="2" t="s">
        <v>263</v>
      </c>
      <c r="C103" t="s">
        <v>39</v>
      </c>
      <c r="D103" t="s">
        <v>40</v>
      </c>
      <c r="E103" t="s">
        <v>73</v>
      </c>
      <c r="F103" t="s">
        <v>137</v>
      </c>
      <c r="G103" t="s">
        <v>41</v>
      </c>
      <c r="H103" t="s">
        <v>51</v>
      </c>
      <c r="I103" t="s">
        <v>51</v>
      </c>
      <c r="J103" t="s">
        <v>84</v>
      </c>
      <c r="K103" s="3">
        <v>18</v>
      </c>
      <c r="L103" s="3">
        <v>21.43</v>
      </c>
      <c r="M103" s="3">
        <v>385.74</v>
      </c>
      <c r="N103" s="3">
        <v>178.54</v>
      </c>
      <c r="O103" s="3">
        <v>207.2</v>
      </c>
      <c r="P103" s="3">
        <v>428.09</v>
      </c>
    </row>
    <row r="104" spans="1:16">
      <c r="A104" t="s">
        <v>264</v>
      </c>
      <c r="B104" s="2" t="s">
        <v>265</v>
      </c>
      <c r="C104" t="s">
        <v>102</v>
      </c>
      <c r="D104" t="s">
        <v>82</v>
      </c>
      <c r="E104" t="s">
        <v>20</v>
      </c>
      <c r="F104" t="s">
        <v>50</v>
      </c>
      <c r="G104" t="s">
        <v>46</v>
      </c>
      <c r="H104" t="s">
        <v>66</v>
      </c>
      <c r="I104" t="s">
        <v>66</v>
      </c>
      <c r="J104" t="s">
        <v>89</v>
      </c>
      <c r="K104" s="3">
        <v>9</v>
      </c>
      <c r="L104" s="3">
        <v>282.83</v>
      </c>
      <c r="M104" s="3">
        <v>2545.4699999999998</v>
      </c>
      <c r="N104" s="3">
        <v>1372.71</v>
      </c>
      <c r="O104" s="3">
        <v>1172.76</v>
      </c>
      <c r="P104" s="3">
        <v>2493.7600000000002</v>
      </c>
    </row>
    <row r="105" spans="1:16">
      <c r="A105" t="s">
        <v>266</v>
      </c>
      <c r="B105" s="2" t="s">
        <v>267</v>
      </c>
      <c r="C105" t="s">
        <v>155</v>
      </c>
      <c r="D105" t="s">
        <v>82</v>
      </c>
      <c r="E105" t="s">
        <v>34</v>
      </c>
      <c r="F105" t="s">
        <v>35</v>
      </c>
      <c r="G105" t="s">
        <v>46</v>
      </c>
      <c r="H105" t="s">
        <v>78</v>
      </c>
      <c r="I105" t="s">
        <v>78</v>
      </c>
      <c r="J105" t="s">
        <v>24</v>
      </c>
      <c r="K105" s="3">
        <v>12</v>
      </c>
      <c r="L105" s="3">
        <v>196.73</v>
      </c>
      <c r="M105" s="3">
        <v>2360.7600000000002</v>
      </c>
      <c r="N105" s="3">
        <v>1376.72</v>
      </c>
      <c r="O105" s="3">
        <v>984.04</v>
      </c>
      <c r="P105" s="3">
        <v>2234.6</v>
      </c>
    </row>
    <row r="106" spans="1:16">
      <c r="A106" t="s">
        <v>268</v>
      </c>
      <c r="B106" s="2" t="s">
        <v>215</v>
      </c>
      <c r="C106" t="s">
        <v>155</v>
      </c>
      <c r="D106" t="s">
        <v>82</v>
      </c>
      <c r="E106" t="s">
        <v>73</v>
      </c>
      <c r="F106" t="s">
        <v>83</v>
      </c>
      <c r="G106" t="s">
        <v>22</v>
      </c>
      <c r="H106" t="s">
        <v>60</v>
      </c>
      <c r="I106" t="s">
        <v>60</v>
      </c>
      <c r="J106" t="s">
        <v>57</v>
      </c>
      <c r="K106" s="3">
        <v>5</v>
      </c>
      <c r="L106" s="3">
        <v>52.18</v>
      </c>
      <c r="M106" s="3">
        <v>260.89999999999998</v>
      </c>
      <c r="N106" s="3">
        <v>154.30000000000001</v>
      </c>
      <c r="O106" s="3">
        <v>106.6</v>
      </c>
      <c r="P106" s="3">
        <v>240.5</v>
      </c>
    </row>
    <row r="107" spans="1:16">
      <c r="A107" t="s">
        <v>269</v>
      </c>
      <c r="B107" s="2" t="s">
        <v>181</v>
      </c>
      <c r="C107" t="s">
        <v>27</v>
      </c>
      <c r="D107" t="s">
        <v>19</v>
      </c>
      <c r="E107" t="s">
        <v>73</v>
      </c>
      <c r="F107" t="s">
        <v>128</v>
      </c>
      <c r="G107" t="s">
        <v>22</v>
      </c>
      <c r="H107" t="s">
        <v>95</v>
      </c>
      <c r="I107" t="s">
        <v>95</v>
      </c>
      <c r="J107" t="s">
        <v>84</v>
      </c>
      <c r="K107" s="3">
        <v>5</v>
      </c>
      <c r="L107" s="3">
        <v>621.04999999999995</v>
      </c>
      <c r="M107" s="3">
        <v>3105.25</v>
      </c>
      <c r="N107" s="3">
        <v>2726.76</v>
      </c>
      <c r="O107" s="3">
        <v>378.49</v>
      </c>
      <c r="P107" s="3">
        <v>3226.59</v>
      </c>
    </row>
    <row r="108" spans="1:16">
      <c r="A108" t="s">
        <v>270</v>
      </c>
      <c r="B108" s="2" t="s">
        <v>271</v>
      </c>
      <c r="C108" t="s">
        <v>39</v>
      </c>
      <c r="D108" t="s">
        <v>40</v>
      </c>
      <c r="E108" t="s">
        <v>20</v>
      </c>
      <c r="F108" t="s">
        <v>56</v>
      </c>
      <c r="G108" t="s">
        <v>22</v>
      </c>
      <c r="H108" t="s">
        <v>60</v>
      </c>
      <c r="I108" t="s">
        <v>60</v>
      </c>
      <c r="J108" t="s">
        <v>52</v>
      </c>
      <c r="K108" s="3">
        <v>8</v>
      </c>
      <c r="L108" s="3">
        <v>58.19</v>
      </c>
      <c r="M108" s="3">
        <v>465.52</v>
      </c>
      <c r="N108" s="3">
        <v>242.13</v>
      </c>
      <c r="O108" s="3">
        <v>223.39</v>
      </c>
      <c r="P108" s="3">
        <v>398.26</v>
      </c>
    </row>
    <row r="109" spans="1:16">
      <c r="A109" t="s">
        <v>272</v>
      </c>
      <c r="B109" s="2" t="s">
        <v>273</v>
      </c>
      <c r="C109" t="s">
        <v>108</v>
      </c>
      <c r="D109" t="s">
        <v>40</v>
      </c>
      <c r="E109" t="s">
        <v>64</v>
      </c>
      <c r="F109" t="s">
        <v>103</v>
      </c>
      <c r="G109" t="s">
        <v>46</v>
      </c>
      <c r="H109" t="s">
        <v>75</v>
      </c>
      <c r="I109" t="s">
        <v>75</v>
      </c>
      <c r="J109" t="s">
        <v>57</v>
      </c>
      <c r="K109" s="3">
        <v>12</v>
      </c>
      <c r="L109" s="3">
        <v>418</v>
      </c>
      <c r="M109" s="3">
        <v>5016</v>
      </c>
      <c r="N109" s="3">
        <v>3364.45</v>
      </c>
      <c r="O109" s="3">
        <v>1651.55</v>
      </c>
      <c r="P109" s="3">
        <v>4455.0600000000004</v>
      </c>
    </row>
    <row r="110" spans="1:16">
      <c r="A110" t="s">
        <v>274</v>
      </c>
      <c r="B110" s="2" t="s">
        <v>275</v>
      </c>
      <c r="C110" t="s">
        <v>27</v>
      </c>
      <c r="D110" t="s">
        <v>19</v>
      </c>
      <c r="E110" t="s">
        <v>34</v>
      </c>
      <c r="F110" t="s">
        <v>92</v>
      </c>
      <c r="G110" t="s">
        <v>46</v>
      </c>
      <c r="H110" t="s">
        <v>75</v>
      </c>
      <c r="I110" t="s">
        <v>75</v>
      </c>
      <c r="J110" t="s">
        <v>24</v>
      </c>
      <c r="K110" s="3">
        <v>16</v>
      </c>
      <c r="L110" s="3">
        <v>383.11</v>
      </c>
      <c r="M110" s="3">
        <v>6129.76</v>
      </c>
      <c r="N110" s="3">
        <v>4635.59</v>
      </c>
      <c r="O110" s="3">
        <v>1494.17</v>
      </c>
      <c r="P110" s="3">
        <v>6124.83</v>
      </c>
    </row>
    <row r="111" spans="1:16">
      <c r="A111" t="s">
        <v>276</v>
      </c>
      <c r="B111" s="2" t="s">
        <v>209</v>
      </c>
      <c r="C111" t="s">
        <v>155</v>
      </c>
      <c r="D111" t="s">
        <v>82</v>
      </c>
      <c r="E111" t="s">
        <v>64</v>
      </c>
      <c r="F111" t="s">
        <v>103</v>
      </c>
      <c r="G111" t="s">
        <v>22</v>
      </c>
      <c r="H111" t="s">
        <v>60</v>
      </c>
      <c r="I111" t="s">
        <v>60</v>
      </c>
      <c r="J111" t="s">
        <v>61</v>
      </c>
      <c r="K111" s="3">
        <v>3</v>
      </c>
      <c r="L111" s="3">
        <v>56.19</v>
      </c>
      <c r="M111" s="3">
        <v>168.57</v>
      </c>
      <c r="N111" s="3">
        <v>86.64</v>
      </c>
      <c r="O111" s="3">
        <v>81.93</v>
      </c>
      <c r="P111" s="3">
        <v>180.12</v>
      </c>
    </row>
    <row r="112" spans="1:16">
      <c r="A112" t="s">
        <v>277</v>
      </c>
      <c r="B112" s="2" t="s">
        <v>278</v>
      </c>
      <c r="C112" t="s">
        <v>102</v>
      </c>
      <c r="D112" t="s">
        <v>82</v>
      </c>
      <c r="E112" t="s">
        <v>34</v>
      </c>
      <c r="F112" t="s">
        <v>92</v>
      </c>
      <c r="G112" t="s">
        <v>46</v>
      </c>
      <c r="H112" t="s">
        <v>66</v>
      </c>
      <c r="I112" t="s">
        <v>66</v>
      </c>
      <c r="J112" t="s">
        <v>57</v>
      </c>
      <c r="K112" s="3">
        <v>4</v>
      </c>
      <c r="L112" s="3">
        <v>239.16</v>
      </c>
      <c r="M112" s="3">
        <v>956.64</v>
      </c>
      <c r="N112" s="3">
        <v>662.58</v>
      </c>
      <c r="O112" s="3">
        <v>294.06</v>
      </c>
      <c r="P112" s="3">
        <v>1031.0899999999999</v>
      </c>
    </row>
    <row r="113" spans="1:16">
      <c r="A113" t="s">
        <v>279</v>
      </c>
      <c r="B113" s="2" t="s">
        <v>280</v>
      </c>
      <c r="C113" t="s">
        <v>102</v>
      </c>
      <c r="D113" t="s">
        <v>82</v>
      </c>
      <c r="E113" t="s">
        <v>73</v>
      </c>
      <c r="F113" t="s">
        <v>74</v>
      </c>
      <c r="G113" t="s">
        <v>41</v>
      </c>
      <c r="H113" t="s">
        <v>51</v>
      </c>
      <c r="I113" t="s">
        <v>51</v>
      </c>
      <c r="J113" t="s">
        <v>52</v>
      </c>
      <c r="K113" s="3">
        <v>4</v>
      </c>
      <c r="L113" s="3">
        <v>21.55</v>
      </c>
      <c r="M113" s="3">
        <v>86.2</v>
      </c>
      <c r="N113" s="3">
        <v>39.25</v>
      </c>
      <c r="O113" s="3">
        <v>46.95</v>
      </c>
      <c r="P113" s="3">
        <v>82.7</v>
      </c>
    </row>
    <row r="114" spans="1:16">
      <c r="A114" t="s">
        <v>281</v>
      </c>
      <c r="B114" s="2" t="s">
        <v>282</v>
      </c>
      <c r="C114" t="s">
        <v>142</v>
      </c>
      <c r="D114" t="s">
        <v>33</v>
      </c>
      <c r="E114" t="s">
        <v>64</v>
      </c>
      <c r="F114" t="s">
        <v>103</v>
      </c>
      <c r="G114" t="s">
        <v>22</v>
      </c>
      <c r="H114" t="s">
        <v>95</v>
      </c>
      <c r="I114" t="s">
        <v>95</v>
      </c>
      <c r="J114" t="s">
        <v>84</v>
      </c>
      <c r="K114" s="3">
        <v>4</v>
      </c>
      <c r="L114" s="3">
        <v>597.12</v>
      </c>
      <c r="M114" s="3">
        <v>2388.48</v>
      </c>
      <c r="N114" s="3">
        <v>2130.87</v>
      </c>
      <c r="O114" s="3">
        <v>257.61</v>
      </c>
      <c r="P114" s="3">
        <v>2341.73</v>
      </c>
    </row>
    <row r="115" spans="1:16">
      <c r="A115" t="s">
        <v>283</v>
      </c>
      <c r="B115" s="2" t="s">
        <v>284</v>
      </c>
      <c r="C115" t="s">
        <v>81</v>
      </c>
      <c r="D115" t="s">
        <v>82</v>
      </c>
      <c r="E115" t="s">
        <v>34</v>
      </c>
      <c r="F115" t="s">
        <v>35</v>
      </c>
      <c r="G115" t="s">
        <v>41</v>
      </c>
      <c r="H115" t="s">
        <v>42</v>
      </c>
      <c r="I115" t="s">
        <v>42</v>
      </c>
      <c r="J115" t="s">
        <v>52</v>
      </c>
      <c r="K115" s="3">
        <v>14</v>
      </c>
      <c r="L115" s="3">
        <v>9.67</v>
      </c>
      <c r="M115" s="3">
        <v>135.38</v>
      </c>
      <c r="N115" s="3">
        <v>43.55</v>
      </c>
      <c r="O115" s="3">
        <v>91.83</v>
      </c>
      <c r="P115" s="3">
        <v>149.24</v>
      </c>
    </row>
    <row r="116" spans="1:16">
      <c r="A116" t="s">
        <v>285</v>
      </c>
      <c r="B116" s="2" t="s">
        <v>286</v>
      </c>
      <c r="C116" t="s">
        <v>27</v>
      </c>
      <c r="D116" t="s">
        <v>19</v>
      </c>
      <c r="E116" t="s">
        <v>34</v>
      </c>
      <c r="F116" t="s">
        <v>35</v>
      </c>
      <c r="G116" t="s">
        <v>46</v>
      </c>
      <c r="H116" t="s">
        <v>47</v>
      </c>
      <c r="I116" t="s">
        <v>47</v>
      </c>
      <c r="J116" t="s">
        <v>61</v>
      </c>
      <c r="K116" s="3">
        <v>16</v>
      </c>
      <c r="L116" s="3">
        <v>288.58999999999997</v>
      </c>
      <c r="M116" s="3">
        <v>4617.4399999999996</v>
      </c>
      <c r="N116" s="3">
        <v>2956.17</v>
      </c>
      <c r="O116" s="3">
        <v>1661.27</v>
      </c>
      <c r="P116" s="3">
        <v>4099.72</v>
      </c>
    </row>
    <row r="117" spans="1:16">
      <c r="A117" t="s">
        <v>287</v>
      </c>
      <c r="B117" s="2" t="s">
        <v>241</v>
      </c>
      <c r="C117" t="s">
        <v>39</v>
      </c>
      <c r="D117" t="s">
        <v>40</v>
      </c>
      <c r="E117" t="s">
        <v>34</v>
      </c>
      <c r="F117" t="s">
        <v>123</v>
      </c>
      <c r="G117" t="s">
        <v>41</v>
      </c>
      <c r="H117" t="s">
        <v>86</v>
      </c>
      <c r="I117" t="s">
        <v>86</v>
      </c>
      <c r="J117" t="s">
        <v>52</v>
      </c>
      <c r="K117" s="3">
        <v>9</v>
      </c>
      <c r="L117" s="3">
        <v>18.39</v>
      </c>
      <c r="M117" s="3">
        <v>165.51</v>
      </c>
      <c r="N117" s="3">
        <v>68.61</v>
      </c>
      <c r="O117" s="3">
        <v>96.9</v>
      </c>
      <c r="P117" s="3">
        <v>156.51</v>
      </c>
    </row>
    <row r="118" spans="1:16">
      <c r="A118" t="s">
        <v>288</v>
      </c>
      <c r="B118" s="2" t="s">
        <v>289</v>
      </c>
      <c r="C118" t="s">
        <v>142</v>
      </c>
      <c r="D118" t="s">
        <v>33</v>
      </c>
      <c r="E118" t="s">
        <v>20</v>
      </c>
      <c r="F118" t="s">
        <v>56</v>
      </c>
      <c r="G118" t="s">
        <v>22</v>
      </c>
      <c r="H118" t="s">
        <v>36</v>
      </c>
      <c r="I118" t="s">
        <v>36</v>
      </c>
      <c r="J118" t="s">
        <v>29</v>
      </c>
      <c r="K118" s="3">
        <v>1</v>
      </c>
      <c r="L118" s="3">
        <v>86.82</v>
      </c>
      <c r="M118" s="3">
        <v>86.82</v>
      </c>
      <c r="N118" s="3">
        <v>57.55</v>
      </c>
      <c r="O118" s="3">
        <v>29.27</v>
      </c>
      <c r="P118" s="3">
        <v>89.92</v>
      </c>
    </row>
    <row r="119" spans="1:16">
      <c r="A119" t="s">
        <v>290</v>
      </c>
      <c r="B119" s="2" t="s">
        <v>280</v>
      </c>
      <c r="C119" t="s">
        <v>102</v>
      </c>
      <c r="D119" t="s">
        <v>82</v>
      </c>
      <c r="E119" t="s">
        <v>34</v>
      </c>
      <c r="F119" t="s">
        <v>123</v>
      </c>
      <c r="G119" t="s">
        <v>41</v>
      </c>
      <c r="H119" t="s">
        <v>42</v>
      </c>
      <c r="I119" t="s">
        <v>42</v>
      </c>
      <c r="J119" t="s">
        <v>84</v>
      </c>
      <c r="K119" s="3">
        <v>19</v>
      </c>
      <c r="L119" s="3">
        <v>9.4</v>
      </c>
      <c r="M119" s="3">
        <v>178.6</v>
      </c>
      <c r="N119" s="3">
        <v>57.55</v>
      </c>
      <c r="O119" s="3">
        <v>121.05</v>
      </c>
      <c r="P119" s="3">
        <v>207.03</v>
      </c>
    </row>
    <row r="120" spans="1:16">
      <c r="A120" t="s">
        <v>291</v>
      </c>
      <c r="B120" s="2" t="s">
        <v>292</v>
      </c>
      <c r="C120" t="s">
        <v>111</v>
      </c>
      <c r="D120" t="s">
        <v>40</v>
      </c>
      <c r="E120" t="s">
        <v>20</v>
      </c>
      <c r="F120" t="s">
        <v>28</v>
      </c>
      <c r="G120" t="s">
        <v>41</v>
      </c>
      <c r="H120" t="s">
        <v>51</v>
      </c>
      <c r="I120" t="s">
        <v>51</v>
      </c>
      <c r="J120" t="s">
        <v>57</v>
      </c>
      <c r="K120" s="3">
        <v>16</v>
      </c>
      <c r="L120" s="3">
        <v>22.71</v>
      </c>
      <c r="M120" s="3">
        <v>363.36</v>
      </c>
      <c r="N120" s="3">
        <v>161.71</v>
      </c>
      <c r="O120" s="3">
        <v>201.65</v>
      </c>
      <c r="P120" s="3">
        <v>361.53</v>
      </c>
    </row>
    <row r="121" spans="1:16">
      <c r="A121" t="s">
        <v>293</v>
      </c>
      <c r="B121" s="2" t="s">
        <v>294</v>
      </c>
      <c r="C121" t="s">
        <v>81</v>
      </c>
      <c r="D121" t="s">
        <v>82</v>
      </c>
      <c r="E121" t="s">
        <v>34</v>
      </c>
      <c r="F121" t="s">
        <v>92</v>
      </c>
      <c r="G121" t="s">
        <v>22</v>
      </c>
      <c r="H121" t="s">
        <v>60</v>
      </c>
      <c r="I121" t="s">
        <v>60</v>
      </c>
      <c r="J121" t="s">
        <v>70</v>
      </c>
      <c r="K121" s="3">
        <v>19</v>
      </c>
      <c r="L121" s="3">
        <v>56.96</v>
      </c>
      <c r="M121" s="3">
        <v>1082.24</v>
      </c>
      <c r="N121" s="3">
        <v>569.24</v>
      </c>
      <c r="O121" s="3">
        <v>513</v>
      </c>
      <c r="P121" s="3">
        <v>1172.5999999999999</v>
      </c>
    </row>
    <row r="122" spans="1:16">
      <c r="A122" t="s">
        <v>295</v>
      </c>
      <c r="B122" s="2" t="s">
        <v>296</v>
      </c>
      <c r="C122" t="s">
        <v>32</v>
      </c>
      <c r="D122" t="s">
        <v>33</v>
      </c>
      <c r="E122" t="s">
        <v>20</v>
      </c>
      <c r="F122" t="s">
        <v>28</v>
      </c>
      <c r="G122" t="s">
        <v>22</v>
      </c>
      <c r="H122" t="s">
        <v>60</v>
      </c>
      <c r="I122" t="s">
        <v>60</v>
      </c>
      <c r="J122" t="s">
        <v>24</v>
      </c>
      <c r="K122" s="3">
        <v>5</v>
      </c>
      <c r="L122" s="3">
        <v>59.9</v>
      </c>
      <c r="M122" s="3">
        <v>299.5</v>
      </c>
      <c r="N122" s="3">
        <v>153.96</v>
      </c>
      <c r="O122" s="3">
        <v>145.54</v>
      </c>
      <c r="P122" s="3">
        <v>284.92</v>
      </c>
    </row>
    <row r="123" spans="1:16">
      <c r="A123" t="s">
        <v>297</v>
      </c>
      <c r="B123" s="2" t="s">
        <v>298</v>
      </c>
      <c r="C123" t="s">
        <v>108</v>
      </c>
      <c r="D123" t="s">
        <v>40</v>
      </c>
      <c r="E123" t="s">
        <v>64</v>
      </c>
      <c r="F123" t="s">
        <v>105</v>
      </c>
      <c r="G123" t="s">
        <v>22</v>
      </c>
      <c r="H123" t="s">
        <v>36</v>
      </c>
      <c r="I123" t="s">
        <v>36</v>
      </c>
      <c r="J123" t="s">
        <v>61</v>
      </c>
      <c r="K123" s="3">
        <v>8</v>
      </c>
      <c r="L123" s="3">
        <v>95.62</v>
      </c>
      <c r="M123" s="3">
        <v>764.96</v>
      </c>
      <c r="N123" s="3">
        <v>480.01</v>
      </c>
      <c r="O123" s="3">
        <v>284.95</v>
      </c>
      <c r="P123" s="3">
        <v>873.33</v>
      </c>
    </row>
    <row r="124" spans="1:16">
      <c r="A124" t="s">
        <v>299</v>
      </c>
      <c r="B124" s="2" t="s">
        <v>38</v>
      </c>
      <c r="C124" t="s">
        <v>39</v>
      </c>
      <c r="D124" t="s">
        <v>40</v>
      </c>
      <c r="E124" t="s">
        <v>20</v>
      </c>
      <c r="F124" t="s">
        <v>50</v>
      </c>
      <c r="G124" t="s">
        <v>22</v>
      </c>
      <c r="H124" t="s">
        <v>36</v>
      </c>
      <c r="I124" t="s">
        <v>36</v>
      </c>
      <c r="J124" t="s">
        <v>29</v>
      </c>
      <c r="K124" s="3">
        <v>11</v>
      </c>
      <c r="L124" s="3">
        <v>103</v>
      </c>
      <c r="M124" s="3">
        <v>1133</v>
      </c>
      <c r="N124" s="3">
        <v>665</v>
      </c>
      <c r="O124" s="3">
        <v>468</v>
      </c>
      <c r="P124" s="3">
        <v>1190.43</v>
      </c>
    </row>
    <row r="125" spans="1:16">
      <c r="A125" t="s">
        <v>300</v>
      </c>
      <c r="B125" s="2" t="s">
        <v>301</v>
      </c>
      <c r="C125" t="s">
        <v>114</v>
      </c>
      <c r="D125" t="s">
        <v>33</v>
      </c>
      <c r="E125" t="s">
        <v>64</v>
      </c>
      <c r="F125" t="s">
        <v>103</v>
      </c>
      <c r="G125" t="s">
        <v>41</v>
      </c>
      <c r="H125" t="s">
        <v>69</v>
      </c>
      <c r="I125" t="s">
        <v>69</v>
      </c>
      <c r="J125" t="s">
        <v>61</v>
      </c>
      <c r="K125" s="3">
        <v>20</v>
      </c>
      <c r="L125" s="3">
        <v>12.72</v>
      </c>
      <c r="M125" s="3">
        <v>254.4</v>
      </c>
      <c r="N125" s="3">
        <v>79.680000000000007</v>
      </c>
      <c r="O125" s="3">
        <v>174.72</v>
      </c>
      <c r="P125" s="3">
        <v>277.64</v>
      </c>
    </row>
    <row r="126" spans="1:16">
      <c r="A126" t="s">
        <v>302</v>
      </c>
      <c r="B126" s="2" t="s">
        <v>303</v>
      </c>
      <c r="C126" t="s">
        <v>39</v>
      </c>
      <c r="D126" t="s">
        <v>40</v>
      </c>
      <c r="E126" t="s">
        <v>20</v>
      </c>
      <c r="F126" t="s">
        <v>56</v>
      </c>
      <c r="G126" t="s">
        <v>41</v>
      </c>
      <c r="H126" t="s">
        <v>51</v>
      </c>
      <c r="I126" t="s">
        <v>51</v>
      </c>
      <c r="J126" t="s">
        <v>57</v>
      </c>
      <c r="K126" s="3">
        <v>13</v>
      </c>
      <c r="L126" s="3">
        <v>22.11</v>
      </c>
      <c r="M126" s="3">
        <v>287.43</v>
      </c>
      <c r="N126" s="3">
        <v>134.82</v>
      </c>
      <c r="O126" s="3">
        <v>152.61000000000001</v>
      </c>
      <c r="P126" s="3">
        <v>319.33999999999997</v>
      </c>
    </row>
    <row r="127" spans="1:16">
      <c r="A127" t="s">
        <v>304</v>
      </c>
      <c r="B127" s="2" t="s">
        <v>305</v>
      </c>
      <c r="C127" t="s">
        <v>142</v>
      </c>
      <c r="D127" t="s">
        <v>33</v>
      </c>
      <c r="E127" t="s">
        <v>73</v>
      </c>
      <c r="F127" t="s">
        <v>83</v>
      </c>
      <c r="G127" t="s">
        <v>46</v>
      </c>
      <c r="H127" t="s">
        <v>75</v>
      </c>
      <c r="I127" t="s">
        <v>75</v>
      </c>
      <c r="J127" t="s">
        <v>84</v>
      </c>
      <c r="K127" s="3">
        <v>7</v>
      </c>
      <c r="L127" s="3">
        <v>422.57</v>
      </c>
      <c r="M127" s="3">
        <v>2957.99</v>
      </c>
      <c r="N127" s="3">
        <v>2039.56</v>
      </c>
      <c r="O127" s="3">
        <v>918.43</v>
      </c>
      <c r="P127" s="3">
        <v>2876</v>
      </c>
    </row>
    <row r="128" spans="1:16">
      <c r="A128" t="s">
        <v>306</v>
      </c>
      <c r="B128" s="2" t="s">
        <v>307</v>
      </c>
      <c r="C128" t="s">
        <v>32</v>
      </c>
      <c r="D128" t="s">
        <v>33</v>
      </c>
      <c r="E128" t="s">
        <v>73</v>
      </c>
      <c r="F128" t="s">
        <v>128</v>
      </c>
      <c r="G128" t="s">
        <v>22</v>
      </c>
      <c r="H128" t="s">
        <v>23</v>
      </c>
      <c r="I128" t="s">
        <v>23</v>
      </c>
      <c r="J128" t="s">
        <v>89</v>
      </c>
      <c r="K128" s="3">
        <v>3</v>
      </c>
      <c r="L128" s="3">
        <v>285.73</v>
      </c>
      <c r="M128" s="3">
        <v>857.19</v>
      </c>
      <c r="N128" s="3">
        <v>580.63</v>
      </c>
      <c r="O128" s="3">
        <v>276.56</v>
      </c>
      <c r="P128" s="3">
        <v>960.48</v>
      </c>
    </row>
    <row r="129" spans="1:16">
      <c r="A129" t="s">
        <v>308</v>
      </c>
      <c r="B129" s="2" t="s">
        <v>309</v>
      </c>
      <c r="C129" t="s">
        <v>155</v>
      </c>
      <c r="D129" t="s">
        <v>82</v>
      </c>
      <c r="E129" t="s">
        <v>64</v>
      </c>
      <c r="F129" t="s">
        <v>145</v>
      </c>
      <c r="G129" t="s">
        <v>46</v>
      </c>
      <c r="H129" t="s">
        <v>78</v>
      </c>
      <c r="I129" t="s">
        <v>78</v>
      </c>
      <c r="J129" t="s">
        <v>52</v>
      </c>
      <c r="K129" s="3">
        <v>3</v>
      </c>
      <c r="L129" s="3">
        <v>181.39</v>
      </c>
      <c r="M129" s="3">
        <v>544.16999999999996</v>
      </c>
      <c r="N129" s="3">
        <v>358.88</v>
      </c>
      <c r="O129" s="3">
        <v>185.29</v>
      </c>
      <c r="P129" s="3">
        <v>582.79999999999995</v>
      </c>
    </row>
    <row r="130" spans="1:16">
      <c r="A130" t="s">
        <v>310</v>
      </c>
      <c r="B130" s="2" t="s">
        <v>275</v>
      </c>
      <c r="C130" t="s">
        <v>27</v>
      </c>
      <c r="D130" t="s">
        <v>19</v>
      </c>
      <c r="E130" t="s">
        <v>34</v>
      </c>
      <c r="F130" t="s">
        <v>35</v>
      </c>
      <c r="G130" t="s">
        <v>41</v>
      </c>
      <c r="H130" t="s">
        <v>51</v>
      </c>
      <c r="I130" t="s">
        <v>51</v>
      </c>
      <c r="J130" t="s">
        <v>24</v>
      </c>
      <c r="K130" s="3">
        <v>2</v>
      </c>
      <c r="L130" s="3">
        <v>21.79</v>
      </c>
      <c r="M130" s="3">
        <v>43.58</v>
      </c>
      <c r="N130" s="3">
        <v>19.739999999999998</v>
      </c>
      <c r="O130" s="3">
        <v>23.84</v>
      </c>
      <c r="P130" s="3">
        <v>41.42</v>
      </c>
    </row>
    <row r="131" spans="1:16">
      <c r="A131" t="s">
        <v>311</v>
      </c>
      <c r="B131" s="2" t="s">
        <v>118</v>
      </c>
      <c r="C131" t="s">
        <v>27</v>
      </c>
      <c r="D131" t="s">
        <v>19</v>
      </c>
      <c r="E131" t="s">
        <v>64</v>
      </c>
      <c r="F131" t="s">
        <v>65</v>
      </c>
      <c r="G131" t="s">
        <v>46</v>
      </c>
      <c r="H131" t="s">
        <v>75</v>
      </c>
      <c r="I131" t="s">
        <v>75</v>
      </c>
      <c r="J131" t="s">
        <v>89</v>
      </c>
      <c r="K131" s="3">
        <v>19</v>
      </c>
      <c r="L131" s="3">
        <v>415.78</v>
      </c>
      <c r="M131" s="3">
        <v>7899.82</v>
      </c>
      <c r="N131" s="3">
        <v>5400.78</v>
      </c>
      <c r="O131" s="3">
        <v>2499.04</v>
      </c>
      <c r="P131" s="3">
        <v>7603.85</v>
      </c>
    </row>
    <row r="132" spans="1:16">
      <c r="A132" t="s">
        <v>312</v>
      </c>
      <c r="B132" s="2" t="s">
        <v>313</v>
      </c>
      <c r="C132" t="s">
        <v>81</v>
      </c>
      <c r="D132" t="s">
        <v>82</v>
      </c>
      <c r="E132" t="s">
        <v>20</v>
      </c>
      <c r="F132" t="s">
        <v>50</v>
      </c>
      <c r="G132" t="s">
        <v>22</v>
      </c>
      <c r="H132" t="s">
        <v>60</v>
      </c>
      <c r="I132" t="s">
        <v>60</v>
      </c>
      <c r="J132" t="s">
        <v>57</v>
      </c>
      <c r="K132" s="3">
        <v>3</v>
      </c>
      <c r="L132" s="3">
        <v>60.31</v>
      </c>
      <c r="M132" s="3">
        <v>180.93</v>
      </c>
      <c r="N132" s="3">
        <v>90.04</v>
      </c>
      <c r="O132" s="3">
        <v>90.89</v>
      </c>
      <c r="P132" s="3">
        <v>164.72</v>
      </c>
    </row>
    <row r="133" spans="1:16">
      <c r="A133" t="s">
        <v>314</v>
      </c>
      <c r="B133" s="2" t="s">
        <v>315</v>
      </c>
      <c r="C133" t="s">
        <v>55</v>
      </c>
      <c r="D133" t="s">
        <v>19</v>
      </c>
      <c r="E133" t="s">
        <v>64</v>
      </c>
      <c r="F133" t="s">
        <v>105</v>
      </c>
      <c r="G133" t="s">
        <v>41</v>
      </c>
      <c r="H133" t="s">
        <v>42</v>
      </c>
      <c r="I133" t="s">
        <v>42</v>
      </c>
      <c r="J133" t="s">
        <v>70</v>
      </c>
      <c r="K133" s="3">
        <v>13</v>
      </c>
      <c r="L133" s="3">
        <v>9.75</v>
      </c>
      <c r="M133" s="3">
        <v>126.75</v>
      </c>
      <c r="N133" s="3">
        <v>38.64</v>
      </c>
      <c r="O133" s="3">
        <v>88.11</v>
      </c>
      <c r="P133" s="3">
        <v>122.75</v>
      </c>
    </row>
    <row r="134" spans="1:16">
      <c r="A134" t="s">
        <v>316</v>
      </c>
      <c r="B134" s="2" t="s">
        <v>317</v>
      </c>
      <c r="C134" t="s">
        <v>18</v>
      </c>
      <c r="D134" t="s">
        <v>19</v>
      </c>
      <c r="E134" t="s">
        <v>34</v>
      </c>
      <c r="F134" t="s">
        <v>35</v>
      </c>
      <c r="G134" t="s">
        <v>41</v>
      </c>
      <c r="H134" t="s">
        <v>86</v>
      </c>
      <c r="I134" t="s">
        <v>86</v>
      </c>
      <c r="J134" t="s">
        <v>84</v>
      </c>
      <c r="K134" s="3">
        <v>13</v>
      </c>
      <c r="L134" s="3">
        <v>18.21</v>
      </c>
      <c r="M134" s="3">
        <v>236.73</v>
      </c>
      <c r="N134" s="3">
        <v>101.76</v>
      </c>
      <c r="O134" s="3">
        <v>134.97</v>
      </c>
      <c r="P134" s="3">
        <v>261.19</v>
      </c>
    </row>
    <row r="135" spans="1:16">
      <c r="A135" t="s">
        <v>318</v>
      </c>
      <c r="B135" s="2" t="s">
        <v>319</v>
      </c>
      <c r="C135" t="s">
        <v>142</v>
      </c>
      <c r="D135" t="s">
        <v>33</v>
      </c>
      <c r="E135" t="s">
        <v>73</v>
      </c>
      <c r="F135" t="s">
        <v>128</v>
      </c>
      <c r="G135" t="s">
        <v>41</v>
      </c>
      <c r="H135" t="s">
        <v>51</v>
      </c>
      <c r="I135" t="s">
        <v>51</v>
      </c>
      <c r="J135" t="s">
        <v>61</v>
      </c>
      <c r="K135" s="3">
        <v>3</v>
      </c>
      <c r="L135" s="3">
        <v>20.37</v>
      </c>
      <c r="M135" s="3">
        <v>61.11</v>
      </c>
      <c r="N135" s="3">
        <v>29.43</v>
      </c>
      <c r="O135" s="3">
        <v>31.68</v>
      </c>
      <c r="P135" s="3">
        <v>60</v>
      </c>
    </row>
    <row r="136" spans="1:16">
      <c r="A136" t="s">
        <v>320</v>
      </c>
      <c r="B136" s="2" t="s">
        <v>321</v>
      </c>
      <c r="C136" t="s">
        <v>111</v>
      </c>
      <c r="D136" t="s">
        <v>40</v>
      </c>
      <c r="E136" t="s">
        <v>20</v>
      </c>
      <c r="F136" t="s">
        <v>50</v>
      </c>
      <c r="G136" t="s">
        <v>46</v>
      </c>
      <c r="H136" t="s">
        <v>78</v>
      </c>
      <c r="I136" t="s">
        <v>78</v>
      </c>
      <c r="J136" t="s">
        <v>89</v>
      </c>
      <c r="K136" s="3">
        <v>10</v>
      </c>
      <c r="L136" s="3">
        <v>176.21</v>
      </c>
      <c r="M136" s="3">
        <v>1762.1</v>
      </c>
      <c r="N136" s="3">
        <v>1161.6300000000001</v>
      </c>
      <c r="O136" s="3">
        <v>600.47</v>
      </c>
      <c r="P136" s="3">
        <v>1629.89</v>
      </c>
    </row>
    <row r="137" spans="1:16">
      <c r="A137" t="s">
        <v>322</v>
      </c>
      <c r="B137" s="2" t="s">
        <v>323</v>
      </c>
      <c r="C137" t="s">
        <v>32</v>
      </c>
      <c r="D137" t="s">
        <v>33</v>
      </c>
      <c r="E137" t="s">
        <v>73</v>
      </c>
      <c r="F137" t="s">
        <v>137</v>
      </c>
      <c r="G137" t="s">
        <v>22</v>
      </c>
      <c r="H137" t="s">
        <v>60</v>
      </c>
      <c r="I137" t="s">
        <v>60</v>
      </c>
      <c r="J137" t="s">
        <v>70</v>
      </c>
      <c r="K137" s="3">
        <v>4</v>
      </c>
      <c r="L137" s="3">
        <v>58.79</v>
      </c>
      <c r="M137" s="3">
        <v>235.16</v>
      </c>
      <c r="N137" s="3">
        <v>120.09</v>
      </c>
      <c r="O137" s="3">
        <v>115.07</v>
      </c>
      <c r="P137" s="3">
        <v>244.31</v>
      </c>
    </row>
    <row r="138" spans="1:16">
      <c r="A138" t="s">
        <v>324</v>
      </c>
      <c r="B138" s="2" t="s">
        <v>59</v>
      </c>
      <c r="C138" t="s">
        <v>18</v>
      </c>
      <c r="D138" t="s">
        <v>19</v>
      </c>
      <c r="E138" t="s">
        <v>73</v>
      </c>
      <c r="F138" t="s">
        <v>74</v>
      </c>
      <c r="G138" t="s">
        <v>22</v>
      </c>
      <c r="H138" t="s">
        <v>23</v>
      </c>
      <c r="I138" t="s">
        <v>23</v>
      </c>
      <c r="J138" t="s">
        <v>89</v>
      </c>
      <c r="K138" s="3">
        <v>20</v>
      </c>
      <c r="L138" s="3">
        <v>262.13</v>
      </c>
      <c r="M138" s="3">
        <v>5242.6000000000004</v>
      </c>
      <c r="N138" s="3">
        <v>4123.62</v>
      </c>
      <c r="O138" s="3">
        <v>1118.98</v>
      </c>
      <c r="P138" s="3">
        <v>4759.96</v>
      </c>
    </row>
    <row r="139" spans="1:16">
      <c r="A139" t="s">
        <v>325</v>
      </c>
      <c r="B139" s="2" t="s">
        <v>326</v>
      </c>
      <c r="C139" t="s">
        <v>108</v>
      </c>
      <c r="D139" t="s">
        <v>40</v>
      </c>
      <c r="E139" t="s">
        <v>34</v>
      </c>
      <c r="F139" t="s">
        <v>123</v>
      </c>
      <c r="G139" t="s">
        <v>41</v>
      </c>
      <c r="H139" t="s">
        <v>42</v>
      </c>
      <c r="I139" t="s">
        <v>42</v>
      </c>
      <c r="J139" t="s">
        <v>89</v>
      </c>
      <c r="K139" s="3">
        <v>15</v>
      </c>
      <c r="L139" s="3">
        <v>9.4499999999999993</v>
      </c>
      <c r="M139" s="3">
        <v>141.75</v>
      </c>
      <c r="N139" s="3">
        <v>43.8</v>
      </c>
      <c r="O139" s="3">
        <v>97.95</v>
      </c>
      <c r="P139" s="3">
        <v>132.35</v>
      </c>
    </row>
    <row r="140" spans="1:16">
      <c r="A140" t="s">
        <v>327</v>
      </c>
      <c r="B140" s="2" t="s">
        <v>328</v>
      </c>
      <c r="C140" t="s">
        <v>32</v>
      </c>
      <c r="D140" t="s">
        <v>33</v>
      </c>
      <c r="E140" t="s">
        <v>64</v>
      </c>
      <c r="F140" t="s">
        <v>65</v>
      </c>
      <c r="G140" t="s">
        <v>41</v>
      </c>
      <c r="H140" t="s">
        <v>51</v>
      </c>
      <c r="I140" t="s">
        <v>51</v>
      </c>
      <c r="J140" t="s">
        <v>84</v>
      </c>
      <c r="K140" s="3">
        <v>14</v>
      </c>
      <c r="L140" s="3">
        <v>22.01</v>
      </c>
      <c r="M140" s="3">
        <v>308.14</v>
      </c>
      <c r="N140" s="3">
        <v>146.53</v>
      </c>
      <c r="O140" s="3">
        <v>161.61000000000001</v>
      </c>
      <c r="P140" s="3">
        <v>350.02</v>
      </c>
    </row>
    <row r="141" spans="1:16">
      <c r="A141" t="s">
        <v>329</v>
      </c>
      <c r="B141" s="2" t="s">
        <v>149</v>
      </c>
      <c r="C141" t="s">
        <v>114</v>
      </c>
      <c r="D141" t="s">
        <v>33</v>
      </c>
      <c r="E141" t="s">
        <v>64</v>
      </c>
      <c r="F141" t="s">
        <v>145</v>
      </c>
      <c r="G141" t="s">
        <v>46</v>
      </c>
      <c r="H141" t="s">
        <v>75</v>
      </c>
      <c r="I141" t="s">
        <v>75</v>
      </c>
      <c r="J141" t="s">
        <v>84</v>
      </c>
      <c r="K141" s="3">
        <v>17</v>
      </c>
      <c r="L141" s="3">
        <v>437.76</v>
      </c>
      <c r="M141" s="3">
        <v>7441.92</v>
      </c>
      <c r="N141" s="3">
        <v>4927.16</v>
      </c>
      <c r="O141" s="3">
        <v>2514.7600000000002</v>
      </c>
      <c r="P141" s="3">
        <v>7068.13</v>
      </c>
    </row>
    <row r="142" spans="1:16">
      <c r="A142" t="s">
        <v>330</v>
      </c>
      <c r="B142" s="2" t="s">
        <v>331</v>
      </c>
      <c r="C142" t="s">
        <v>114</v>
      </c>
      <c r="D142" t="s">
        <v>33</v>
      </c>
      <c r="E142" t="s">
        <v>73</v>
      </c>
      <c r="F142" t="s">
        <v>74</v>
      </c>
      <c r="G142" t="s">
        <v>22</v>
      </c>
      <c r="H142" t="s">
        <v>23</v>
      </c>
      <c r="I142" t="s">
        <v>23</v>
      </c>
      <c r="J142" t="s">
        <v>29</v>
      </c>
      <c r="K142" s="3">
        <v>12</v>
      </c>
      <c r="L142" s="3">
        <v>297.74</v>
      </c>
      <c r="M142" s="3">
        <v>3572.88</v>
      </c>
      <c r="N142" s="3">
        <v>2503.31</v>
      </c>
      <c r="O142" s="3">
        <v>1069.57</v>
      </c>
      <c r="P142" s="3">
        <v>3555.78</v>
      </c>
    </row>
    <row r="143" spans="1:16">
      <c r="A143" t="s">
        <v>332</v>
      </c>
      <c r="B143" s="2" t="s">
        <v>259</v>
      </c>
      <c r="C143" t="s">
        <v>81</v>
      </c>
      <c r="D143" t="s">
        <v>82</v>
      </c>
      <c r="E143" t="s">
        <v>73</v>
      </c>
      <c r="F143" t="s">
        <v>74</v>
      </c>
      <c r="G143" t="s">
        <v>22</v>
      </c>
      <c r="H143" t="s">
        <v>60</v>
      </c>
      <c r="I143" t="s">
        <v>60</v>
      </c>
      <c r="J143" t="s">
        <v>61</v>
      </c>
      <c r="K143" s="3">
        <v>11</v>
      </c>
      <c r="L143" s="3">
        <v>51.97</v>
      </c>
      <c r="M143" s="3">
        <v>571.66999999999996</v>
      </c>
      <c r="N143" s="3">
        <v>344.22</v>
      </c>
      <c r="O143" s="3">
        <v>227.45</v>
      </c>
      <c r="P143" s="3">
        <v>653.83000000000004</v>
      </c>
    </row>
    <row r="144" spans="1:16">
      <c r="A144" t="s">
        <v>333</v>
      </c>
      <c r="B144" s="2" t="s">
        <v>204</v>
      </c>
      <c r="C144" t="s">
        <v>111</v>
      </c>
      <c r="D144" t="s">
        <v>40</v>
      </c>
      <c r="E144" t="s">
        <v>20</v>
      </c>
      <c r="F144" t="s">
        <v>21</v>
      </c>
      <c r="G144" t="s">
        <v>41</v>
      </c>
      <c r="H144" t="s">
        <v>69</v>
      </c>
      <c r="I144" t="s">
        <v>69</v>
      </c>
      <c r="J144" t="s">
        <v>24</v>
      </c>
      <c r="K144" s="3">
        <v>16</v>
      </c>
      <c r="L144" s="3">
        <v>12.62</v>
      </c>
      <c r="M144" s="3">
        <v>201.92</v>
      </c>
      <c r="N144" s="3">
        <v>63.67</v>
      </c>
      <c r="O144" s="3">
        <v>138.25</v>
      </c>
      <c r="P144" s="3">
        <v>172</v>
      </c>
    </row>
    <row r="145" spans="1:16">
      <c r="A145" t="s">
        <v>334</v>
      </c>
      <c r="B145" s="2" t="s">
        <v>335</v>
      </c>
      <c r="C145" t="s">
        <v>108</v>
      </c>
      <c r="D145" t="s">
        <v>40</v>
      </c>
      <c r="E145" t="s">
        <v>73</v>
      </c>
      <c r="F145" t="s">
        <v>137</v>
      </c>
      <c r="G145" t="s">
        <v>46</v>
      </c>
      <c r="H145" t="s">
        <v>66</v>
      </c>
      <c r="I145" t="s">
        <v>66</v>
      </c>
      <c r="J145" t="s">
        <v>57</v>
      </c>
      <c r="K145" s="3">
        <v>10</v>
      </c>
      <c r="L145" s="3">
        <v>239.78</v>
      </c>
      <c r="M145" s="3">
        <v>2397.8000000000002</v>
      </c>
      <c r="N145" s="3">
        <v>1558.02</v>
      </c>
      <c r="O145" s="3">
        <v>839.78</v>
      </c>
      <c r="P145" s="3">
        <v>2140.39</v>
      </c>
    </row>
    <row r="146" spans="1:16">
      <c r="A146" t="s">
        <v>336</v>
      </c>
      <c r="B146" s="2" t="s">
        <v>265</v>
      </c>
      <c r="C146" t="s">
        <v>102</v>
      </c>
      <c r="D146" t="s">
        <v>82</v>
      </c>
      <c r="E146" t="s">
        <v>64</v>
      </c>
      <c r="F146" t="s">
        <v>103</v>
      </c>
      <c r="G146" t="s">
        <v>22</v>
      </c>
      <c r="H146" t="s">
        <v>36</v>
      </c>
      <c r="I146" t="s">
        <v>36</v>
      </c>
      <c r="J146" t="s">
        <v>84</v>
      </c>
      <c r="K146" s="3">
        <v>1</v>
      </c>
      <c r="L146" s="3">
        <v>96.84</v>
      </c>
      <c r="M146" s="3">
        <v>96.84</v>
      </c>
      <c r="N146" s="3">
        <v>60.79</v>
      </c>
      <c r="O146" s="3">
        <v>36.049999999999997</v>
      </c>
      <c r="P146" s="3">
        <v>101.8</v>
      </c>
    </row>
    <row r="147" spans="1:16">
      <c r="A147" t="s">
        <v>337</v>
      </c>
      <c r="B147" s="2" t="s">
        <v>338</v>
      </c>
      <c r="C147" t="s">
        <v>114</v>
      </c>
      <c r="D147" t="s">
        <v>33</v>
      </c>
      <c r="E147" t="s">
        <v>20</v>
      </c>
      <c r="F147" t="s">
        <v>21</v>
      </c>
      <c r="G147" t="s">
        <v>22</v>
      </c>
      <c r="H147" t="s">
        <v>36</v>
      </c>
      <c r="I147" t="s">
        <v>36</v>
      </c>
      <c r="J147" t="s">
        <v>70</v>
      </c>
      <c r="K147" s="3">
        <v>3</v>
      </c>
      <c r="L147" s="3">
        <v>89.06</v>
      </c>
      <c r="M147" s="3">
        <v>267.18</v>
      </c>
      <c r="N147" s="3">
        <v>180.42</v>
      </c>
      <c r="O147" s="3">
        <v>86.76</v>
      </c>
      <c r="P147" s="3">
        <v>260.82</v>
      </c>
    </row>
    <row r="148" spans="1:16">
      <c r="A148" t="s">
        <v>339</v>
      </c>
      <c r="B148" s="2" t="s">
        <v>340</v>
      </c>
      <c r="C148" t="s">
        <v>102</v>
      </c>
      <c r="D148" t="s">
        <v>82</v>
      </c>
      <c r="E148" t="s">
        <v>64</v>
      </c>
      <c r="F148" t="s">
        <v>103</v>
      </c>
      <c r="G148" t="s">
        <v>46</v>
      </c>
      <c r="H148" t="s">
        <v>66</v>
      </c>
      <c r="I148" t="s">
        <v>66</v>
      </c>
      <c r="J148" t="s">
        <v>24</v>
      </c>
      <c r="K148" s="3">
        <v>9</v>
      </c>
      <c r="L148" s="3">
        <v>285.01</v>
      </c>
      <c r="M148" s="3">
        <v>2565.09</v>
      </c>
      <c r="N148" s="3">
        <v>1475.61</v>
      </c>
      <c r="O148" s="3">
        <v>1089.48</v>
      </c>
      <c r="P148" s="3">
        <v>2500.92</v>
      </c>
    </row>
    <row r="149" spans="1:16">
      <c r="A149" t="s">
        <v>341</v>
      </c>
      <c r="B149" s="2" t="s">
        <v>342</v>
      </c>
      <c r="C149" t="s">
        <v>142</v>
      </c>
      <c r="D149" t="s">
        <v>33</v>
      </c>
      <c r="E149" t="s">
        <v>20</v>
      </c>
      <c r="F149" t="s">
        <v>21</v>
      </c>
      <c r="G149" t="s">
        <v>22</v>
      </c>
      <c r="H149" t="s">
        <v>95</v>
      </c>
      <c r="I149" t="s">
        <v>95</v>
      </c>
      <c r="J149" t="s">
        <v>89</v>
      </c>
      <c r="K149" s="3">
        <v>11</v>
      </c>
      <c r="L149" s="3">
        <v>630.79999999999995</v>
      </c>
      <c r="M149" s="3">
        <v>6938.8</v>
      </c>
      <c r="N149" s="3">
        <v>5899.33</v>
      </c>
      <c r="O149" s="3">
        <v>1039.47</v>
      </c>
      <c r="P149" s="3">
        <v>6323.2</v>
      </c>
    </row>
    <row r="150" spans="1:16">
      <c r="A150" t="s">
        <v>343</v>
      </c>
      <c r="B150" s="2" t="s">
        <v>344</v>
      </c>
      <c r="C150" t="s">
        <v>55</v>
      </c>
      <c r="D150" t="s">
        <v>19</v>
      </c>
      <c r="E150" t="s">
        <v>73</v>
      </c>
      <c r="F150" t="s">
        <v>137</v>
      </c>
      <c r="G150" t="s">
        <v>22</v>
      </c>
      <c r="H150" t="s">
        <v>36</v>
      </c>
      <c r="I150" t="s">
        <v>36</v>
      </c>
      <c r="J150" t="s">
        <v>70</v>
      </c>
      <c r="K150" s="3">
        <v>7</v>
      </c>
      <c r="L150" s="3">
        <v>86.2</v>
      </c>
      <c r="M150" s="3">
        <v>603.4</v>
      </c>
      <c r="N150" s="3">
        <v>400.84</v>
      </c>
      <c r="O150" s="3">
        <v>202.56</v>
      </c>
      <c r="P150" s="3">
        <v>555.02</v>
      </c>
    </row>
    <row r="151" spans="1:16">
      <c r="A151" t="s">
        <v>345</v>
      </c>
      <c r="B151" s="2" t="s">
        <v>141</v>
      </c>
      <c r="C151" t="s">
        <v>142</v>
      </c>
      <c r="D151" t="s">
        <v>33</v>
      </c>
      <c r="E151" t="s">
        <v>64</v>
      </c>
      <c r="F151" t="s">
        <v>65</v>
      </c>
      <c r="G151" t="s">
        <v>41</v>
      </c>
      <c r="H151" t="s">
        <v>86</v>
      </c>
      <c r="I151" t="s">
        <v>86</v>
      </c>
      <c r="J151" t="s">
        <v>70</v>
      </c>
      <c r="K151" s="3">
        <v>7</v>
      </c>
      <c r="L151" s="3">
        <v>18.91</v>
      </c>
      <c r="M151" s="3">
        <v>132.37</v>
      </c>
      <c r="N151" s="3">
        <v>54.8</v>
      </c>
      <c r="O151" s="3">
        <v>77.569999999999993</v>
      </c>
      <c r="P151" s="3">
        <v>152.46</v>
      </c>
    </row>
    <row r="152" spans="1:16">
      <c r="A152" t="s">
        <v>346</v>
      </c>
      <c r="B152" s="2" t="s">
        <v>59</v>
      </c>
      <c r="C152" t="s">
        <v>18</v>
      </c>
      <c r="D152" t="s">
        <v>19</v>
      </c>
      <c r="E152" t="s">
        <v>34</v>
      </c>
      <c r="F152" t="s">
        <v>35</v>
      </c>
      <c r="G152" t="s">
        <v>41</v>
      </c>
      <c r="H152" t="s">
        <v>51</v>
      </c>
      <c r="I152" t="s">
        <v>51</v>
      </c>
      <c r="J152" t="s">
        <v>84</v>
      </c>
      <c r="K152" s="3">
        <v>15</v>
      </c>
      <c r="L152" s="3">
        <v>23.71</v>
      </c>
      <c r="M152" s="3">
        <v>355.65</v>
      </c>
      <c r="N152" s="3">
        <v>155.91999999999999</v>
      </c>
      <c r="O152" s="3">
        <v>199.73</v>
      </c>
      <c r="P152" s="3">
        <v>350.43</v>
      </c>
    </row>
    <row r="153" spans="1:16">
      <c r="A153" t="s">
        <v>347</v>
      </c>
      <c r="B153" s="2" t="s">
        <v>209</v>
      </c>
      <c r="C153" t="s">
        <v>155</v>
      </c>
      <c r="D153" t="s">
        <v>82</v>
      </c>
      <c r="E153" t="s">
        <v>64</v>
      </c>
      <c r="F153" t="s">
        <v>145</v>
      </c>
      <c r="G153" t="s">
        <v>46</v>
      </c>
      <c r="H153" t="s">
        <v>78</v>
      </c>
      <c r="I153" t="s">
        <v>78</v>
      </c>
      <c r="J153" t="s">
        <v>84</v>
      </c>
      <c r="K153" s="3">
        <v>14</v>
      </c>
      <c r="L153" s="3">
        <v>206.74</v>
      </c>
      <c r="M153" s="3">
        <v>2894.36</v>
      </c>
      <c r="N153" s="3">
        <v>1609.26</v>
      </c>
      <c r="O153" s="3">
        <v>1285.0999999999999</v>
      </c>
      <c r="P153" s="3">
        <v>3070.51</v>
      </c>
    </row>
    <row r="154" spans="1:16">
      <c r="A154" t="s">
        <v>348</v>
      </c>
      <c r="B154" s="2" t="s">
        <v>349</v>
      </c>
      <c r="C154" t="s">
        <v>81</v>
      </c>
      <c r="D154" t="s">
        <v>82</v>
      </c>
      <c r="E154" t="s">
        <v>34</v>
      </c>
      <c r="F154" t="s">
        <v>35</v>
      </c>
      <c r="G154" t="s">
        <v>22</v>
      </c>
      <c r="H154" t="s">
        <v>60</v>
      </c>
      <c r="I154" t="s">
        <v>60</v>
      </c>
      <c r="J154" t="s">
        <v>84</v>
      </c>
      <c r="K154" s="3">
        <v>10</v>
      </c>
      <c r="L154" s="3">
        <v>56.77</v>
      </c>
      <c r="M154" s="3">
        <v>567.70000000000005</v>
      </c>
      <c r="N154" s="3">
        <v>298.38</v>
      </c>
      <c r="O154" s="3">
        <v>269.32</v>
      </c>
      <c r="P154" s="3">
        <v>625.14</v>
      </c>
    </row>
    <row r="155" spans="1:16">
      <c r="A155" t="s">
        <v>350</v>
      </c>
      <c r="B155" s="2" t="s">
        <v>315</v>
      </c>
      <c r="C155" t="s">
        <v>55</v>
      </c>
      <c r="D155" t="s">
        <v>19</v>
      </c>
      <c r="E155" t="s">
        <v>34</v>
      </c>
      <c r="F155" t="s">
        <v>92</v>
      </c>
      <c r="G155" t="s">
        <v>22</v>
      </c>
      <c r="H155" t="s">
        <v>60</v>
      </c>
      <c r="I155" t="s">
        <v>60</v>
      </c>
      <c r="J155" t="s">
        <v>70</v>
      </c>
      <c r="K155" s="3">
        <v>14</v>
      </c>
      <c r="L155" s="3">
        <v>56.26</v>
      </c>
      <c r="M155" s="3">
        <v>787.64</v>
      </c>
      <c r="N155" s="3">
        <v>410.53</v>
      </c>
      <c r="O155" s="3">
        <v>377.11</v>
      </c>
      <c r="P155" s="3">
        <v>939.66</v>
      </c>
    </row>
    <row r="156" spans="1:16">
      <c r="A156" t="s">
        <v>351</v>
      </c>
      <c r="B156" s="2" t="s">
        <v>271</v>
      </c>
      <c r="C156" t="s">
        <v>39</v>
      </c>
      <c r="D156" t="s">
        <v>40</v>
      </c>
      <c r="E156" t="s">
        <v>64</v>
      </c>
      <c r="F156" t="s">
        <v>145</v>
      </c>
      <c r="G156" t="s">
        <v>46</v>
      </c>
      <c r="H156" t="s">
        <v>47</v>
      </c>
      <c r="I156" t="s">
        <v>47</v>
      </c>
      <c r="J156" t="s">
        <v>89</v>
      </c>
      <c r="K156" s="3">
        <v>5</v>
      </c>
      <c r="L156" s="3">
        <v>338.07</v>
      </c>
      <c r="M156" s="3">
        <v>1690.35</v>
      </c>
      <c r="N156" s="3">
        <v>983.12</v>
      </c>
      <c r="O156" s="3">
        <v>707.23</v>
      </c>
      <c r="P156" s="3">
        <v>1837.97</v>
      </c>
    </row>
    <row r="157" spans="1:16">
      <c r="A157" t="s">
        <v>352</v>
      </c>
      <c r="B157" s="2" t="s">
        <v>273</v>
      </c>
      <c r="C157" t="s">
        <v>108</v>
      </c>
      <c r="D157" t="s">
        <v>40</v>
      </c>
      <c r="E157" t="s">
        <v>20</v>
      </c>
      <c r="F157" t="s">
        <v>56</v>
      </c>
      <c r="G157" t="s">
        <v>46</v>
      </c>
      <c r="H157" t="s">
        <v>78</v>
      </c>
      <c r="I157" t="s">
        <v>78</v>
      </c>
      <c r="J157" t="s">
        <v>89</v>
      </c>
      <c r="K157" s="3">
        <v>19</v>
      </c>
      <c r="L157" s="3">
        <v>189.62</v>
      </c>
      <c r="M157" s="3">
        <v>3602.78</v>
      </c>
      <c r="N157" s="3">
        <v>2173.38</v>
      </c>
      <c r="O157" s="3">
        <v>1429.4</v>
      </c>
      <c r="P157" s="3">
        <v>3255.84</v>
      </c>
    </row>
    <row r="158" spans="1:16">
      <c r="A158" t="s">
        <v>353</v>
      </c>
      <c r="B158" s="2" t="s">
        <v>289</v>
      </c>
      <c r="C158" t="s">
        <v>142</v>
      </c>
      <c r="D158" t="s">
        <v>33</v>
      </c>
      <c r="E158" t="s">
        <v>64</v>
      </c>
      <c r="F158" t="s">
        <v>103</v>
      </c>
      <c r="G158" t="s">
        <v>46</v>
      </c>
      <c r="H158" t="s">
        <v>47</v>
      </c>
      <c r="I158" t="s">
        <v>47</v>
      </c>
      <c r="J158" t="s">
        <v>24</v>
      </c>
      <c r="K158" s="3">
        <v>13</v>
      </c>
      <c r="L158" s="3">
        <v>311.83</v>
      </c>
      <c r="M158" s="3">
        <v>4053.79</v>
      </c>
      <c r="N158" s="3">
        <v>2424.15</v>
      </c>
      <c r="O158" s="3">
        <v>1629.64</v>
      </c>
      <c r="P158" s="3">
        <v>3841.13</v>
      </c>
    </row>
    <row r="159" spans="1:16">
      <c r="A159" t="s">
        <v>354</v>
      </c>
      <c r="B159" s="2" t="s">
        <v>355</v>
      </c>
      <c r="C159" t="s">
        <v>108</v>
      </c>
      <c r="D159" t="s">
        <v>40</v>
      </c>
      <c r="E159" t="s">
        <v>73</v>
      </c>
      <c r="F159" t="s">
        <v>74</v>
      </c>
      <c r="G159" t="s">
        <v>46</v>
      </c>
      <c r="H159" t="s">
        <v>66</v>
      </c>
      <c r="I159" t="s">
        <v>66</v>
      </c>
      <c r="J159" t="s">
        <v>89</v>
      </c>
      <c r="K159" s="3">
        <v>4</v>
      </c>
      <c r="L159" s="3">
        <v>281.5</v>
      </c>
      <c r="M159" s="3">
        <v>1126</v>
      </c>
      <c r="N159" s="3">
        <v>624.75</v>
      </c>
      <c r="O159" s="3">
        <v>501.25</v>
      </c>
      <c r="P159" s="3">
        <v>1059.68</v>
      </c>
    </row>
    <row r="160" spans="1:16">
      <c r="A160" t="s">
        <v>356</v>
      </c>
      <c r="B160" s="2" t="s">
        <v>357</v>
      </c>
      <c r="C160" t="s">
        <v>32</v>
      </c>
      <c r="D160" t="s">
        <v>33</v>
      </c>
      <c r="E160" t="s">
        <v>34</v>
      </c>
      <c r="F160" t="s">
        <v>92</v>
      </c>
      <c r="G160" t="s">
        <v>22</v>
      </c>
      <c r="H160" t="s">
        <v>95</v>
      </c>
      <c r="I160" t="s">
        <v>95</v>
      </c>
      <c r="J160" t="s">
        <v>89</v>
      </c>
      <c r="K160" s="3">
        <v>3</v>
      </c>
      <c r="L160" s="3">
        <v>602.64</v>
      </c>
      <c r="M160" s="3">
        <v>1807.92</v>
      </c>
      <c r="N160" s="3">
        <v>1552.52</v>
      </c>
      <c r="O160" s="3">
        <v>255.4</v>
      </c>
      <c r="P160" s="3">
        <v>2105.39</v>
      </c>
    </row>
    <row r="161" spans="1:16">
      <c r="A161" t="s">
        <v>358</v>
      </c>
      <c r="B161" s="2" t="s">
        <v>359</v>
      </c>
      <c r="C161" t="s">
        <v>39</v>
      </c>
      <c r="D161" t="s">
        <v>40</v>
      </c>
      <c r="E161" t="s">
        <v>34</v>
      </c>
      <c r="F161" t="s">
        <v>45</v>
      </c>
      <c r="G161" t="s">
        <v>46</v>
      </c>
      <c r="H161" t="s">
        <v>75</v>
      </c>
      <c r="I161" t="s">
        <v>75</v>
      </c>
      <c r="J161" t="s">
        <v>84</v>
      </c>
      <c r="K161" s="3">
        <v>10</v>
      </c>
      <c r="L161" s="3">
        <v>424.2</v>
      </c>
      <c r="M161" s="3">
        <v>4242</v>
      </c>
      <c r="N161" s="3">
        <v>2909.57</v>
      </c>
      <c r="O161" s="3">
        <v>1332.43</v>
      </c>
      <c r="P161" s="3">
        <v>4869.72</v>
      </c>
    </row>
    <row r="162" spans="1:16">
      <c r="A162" t="s">
        <v>360</v>
      </c>
      <c r="B162" s="2" t="s">
        <v>361</v>
      </c>
      <c r="C162" t="s">
        <v>142</v>
      </c>
      <c r="D162" t="s">
        <v>33</v>
      </c>
      <c r="E162" t="s">
        <v>73</v>
      </c>
      <c r="F162" t="s">
        <v>83</v>
      </c>
      <c r="G162" t="s">
        <v>22</v>
      </c>
      <c r="H162" t="s">
        <v>23</v>
      </c>
      <c r="I162" t="s">
        <v>23</v>
      </c>
      <c r="J162" t="s">
        <v>61</v>
      </c>
      <c r="K162" s="3">
        <v>16</v>
      </c>
      <c r="L162" s="3">
        <v>265.26</v>
      </c>
      <c r="M162" s="3">
        <v>4244.16</v>
      </c>
      <c r="N162" s="3">
        <v>3048.41</v>
      </c>
      <c r="O162" s="3">
        <v>1195.75</v>
      </c>
      <c r="P162" s="3">
        <v>4430.51</v>
      </c>
    </row>
    <row r="163" spans="1:16">
      <c r="A163" t="s">
        <v>362</v>
      </c>
      <c r="B163" s="2" t="s">
        <v>363</v>
      </c>
      <c r="C163" t="s">
        <v>155</v>
      </c>
      <c r="D163" t="s">
        <v>82</v>
      </c>
      <c r="E163" t="s">
        <v>73</v>
      </c>
      <c r="F163" t="s">
        <v>83</v>
      </c>
      <c r="G163" t="s">
        <v>22</v>
      </c>
      <c r="H163" t="s">
        <v>60</v>
      </c>
      <c r="I163" t="s">
        <v>60</v>
      </c>
      <c r="J163" t="s">
        <v>24</v>
      </c>
      <c r="K163" s="3">
        <v>16</v>
      </c>
      <c r="L163" s="3">
        <v>53.88</v>
      </c>
      <c r="M163" s="3">
        <v>862.08</v>
      </c>
      <c r="N163" s="3">
        <v>481.23</v>
      </c>
      <c r="O163" s="3">
        <v>380.85</v>
      </c>
      <c r="P163" s="3">
        <v>964.85</v>
      </c>
    </row>
    <row r="164" spans="1:16">
      <c r="A164" t="s">
        <v>364</v>
      </c>
      <c r="B164" s="2" t="s">
        <v>365</v>
      </c>
      <c r="C164" t="s">
        <v>111</v>
      </c>
      <c r="D164" t="s">
        <v>40</v>
      </c>
      <c r="E164" t="s">
        <v>20</v>
      </c>
      <c r="F164" t="s">
        <v>50</v>
      </c>
      <c r="G164" t="s">
        <v>41</v>
      </c>
      <c r="H164" t="s">
        <v>42</v>
      </c>
      <c r="I164" t="s">
        <v>42</v>
      </c>
      <c r="J164" t="s">
        <v>84</v>
      </c>
      <c r="K164" s="3">
        <v>18</v>
      </c>
      <c r="L164" s="3">
        <v>8.33</v>
      </c>
      <c r="M164" s="3">
        <v>149.94</v>
      </c>
      <c r="N164" s="3">
        <v>54.75</v>
      </c>
      <c r="O164" s="3">
        <v>95.19</v>
      </c>
      <c r="P164" s="3">
        <v>137</v>
      </c>
    </row>
    <row r="165" spans="1:16">
      <c r="A165" t="s">
        <v>366</v>
      </c>
      <c r="B165" s="2" t="s">
        <v>367</v>
      </c>
      <c r="C165" t="s">
        <v>102</v>
      </c>
      <c r="D165" t="s">
        <v>82</v>
      </c>
      <c r="E165" t="s">
        <v>20</v>
      </c>
      <c r="F165" t="s">
        <v>28</v>
      </c>
      <c r="G165" t="s">
        <v>46</v>
      </c>
      <c r="H165" t="s">
        <v>47</v>
      </c>
      <c r="I165" t="s">
        <v>47</v>
      </c>
      <c r="J165" t="s">
        <v>61</v>
      </c>
      <c r="K165" s="3">
        <v>6</v>
      </c>
      <c r="L165" s="3">
        <v>297.86</v>
      </c>
      <c r="M165" s="3">
        <v>1787.16</v>
      </c>
      <c r="N165" s="3">
        <v>1119.78</v>
      </c>
      <c r="O165" s="3">
        <v>667.38</v>
      </c>
      <c r="P165" s="3">
        <v>1962.78</v>
      </c>
    </row>
    <row r="166" spans="1:16">
      <c r="A166" t="s">
        <v>368</v>
      </c>
      <c r="B166" s="2" t="s">
        <v>349</v>
      </c>
      <c r="C166" t="s">
        <v>81</v>
      </c>
      <c r="D166" t="s">
        <v>82</v>
      </c>
      <c r="E166" t="s">
        <v>20</v>
      </c>
      <c r="F166" t="s">
        <v>21</v>
      </c>
      <c r="G166" t="s">
        <v>22</v>
      </c>
      <c r="H166" t="s">
        <v>60</v>
      </c>
      <c r="I166" t="s">
        <v>60</v>
      </c>
      <c r="J166" t="s">
        <v>84</v>
      </c>
      <c r="K166" s="3">
        <v>10</v>
      </c>
      <c r="L166" s="3">
        <v>50.88</v>
      </c>
      <c r="M166" s="3">
        <v>508.8</v>
      </c>
      <c r="N166" s="3">
        <v>303.43</v>
      </c>
      <c r="O166" s="3">
        <v>205.37</v>
      </c>
      <c r="P166" s="3">
        <v>449.12</v>
      </c>
    </row>
    <row r="167" spans="1:16">
      <c r="A167" t="s">
        <v>369</v>
      </c>
      <c r="B167" s="2" t="s">
        <v>370</v>
      </c>
      <c r="C167" t="s">
        <v>27</v>
      </c>
      <c r="D167" t="s">
        <v>19</v>
      </c>
      <c r="E167" t="s">
        <v>73</v>
      </c>
      <c r="F167" t="s">
        <v>137</v>
      </c>
      <c r="G167" t="s">
        <v>46</v>
      </c>
      <c r="H167" t="s">
        <v>78</v>
      </c>
      <c r="I167" t="s">
        <v>78</v>
      </c>
      <c r="J167" t="s">
        <v>24</v>
      </c>
      <c r="K167" s="3">
        <v>19</v>
      </c>
      <c r="L167" s="3">
        <v>208.36</v>
      </c>
      <c r="M167" s="3">
        <v>3958.84</v>
      </c>
      <c r="N167" s="3">
        <v>2175.39</v>
      </c>
      <c r="O167" s="3">
        <v>1783.45</v>
      </c>
      <c r="P167" s="3">
        <v>4561.8599999999997</v>
      </c>
    </row>
    <row r="168" spans="1:16">
      <c r="A168" t="s">
        <v>371</v>
      </c>
      <c r="B168" s="2" t="s">
        <v>107</v>
      </c>
      <c r="C168" t="s">
        <v>108</v>
      </c>
      <c r="D168" t="s">
        <v>40</v>
      </c>
      <c r="E168" t="s">
        <v>34</v>
      </c>
      <c r="F168" t="s">
        <v>123</v>
      </c>
      <c r="G168" t="s">
        <v>46</v>
      </c>
      <c r="H168" t="s">
        <v>66</v>
      </c>
      <c r="I168" t="s">
        <v>66</v>
      </c>
      <c r="J168" t="s">
        <v>52</v>
      </c>
      <c r="K168" s="3">
        <v>1</v>
      </c>
      <c r="L168" s="3">
        <v>266.14</v>
      </c>
      <c r="M168" s="3">
        <v>266.14</v>
      </c>
      <c r="N168" s="3">
        <v>159.97</v>
      </c>
      <c r="O168" s="3">
        <v>106.17</v>
      </c>
      <c r="P168" s="3">
        <v>284.64</v>
      </c>
    </row>
    <row r="169" spans="1:16">
      <c r="A169" t="s">
        <v>372</v>
      </c>
      <c r="B169" s="2" t="s">
        <v>373</v>
      </c>
      <c r="C169" t="s">
        <v>18</v>
      </c>
      <c r="D169" t="s">
        <v>19</v>
      </c>
      <c r="E169" t="s">
        <v>64</v>
      </c>
      <c r="F169" t="s">
        <v>105</v>
      </c>
      <c r="G169" t="s">
        <v>46</v>
      </c>
      <c r="H169" t="s">
        <v>66</v>
      </c>
      <c r="I169" t="s">
        <v>66</v>
      </c>
      <c r="J169" t="s">
        <v>29</v>
      </c>
      <c r="K169" s="3">
        <v>3</v>
      </c>
      <c r="L169" s="3">
        <v>249.47</v>
      </c>
      <c r="M169" s="3">
        <v>748.41</v>
      </c>
      <c r="N169" s="3">
        <v>489.05</v>
      </c>
      <c r="O169" s="3">
        <v>259.36</v>
      </c>
      <c r="P169" s="3">
        <v>677.56</v>
      </c>
    </row>
    <row r="170" spans="1:16">
      <c r="A170" t="s">
        <v>374</v>
      </c>
      <c r="B170" s="2" t="s">
        <v>154</v>
      </c>
      <c r="C170" t="s">
        <v>155</v>
      </c>
      <c r="D170" t="s">
        <v>82</v>
      </c>
      <c r="E170" t="s">
        <v>73</v>
      </c>
      <c r="F170" t="s">
        <v>128</v>
      </c>
      <c r="G170" t="s">
        <v>46</v>
      </c>
      <c r="H170" t="s">
        <v>47</v>
      </c>
      <c r="I170" t="s">
        <v>47</v>
      </c>
      <c r="J170" t="s">
        <v>29</v>
      </c>
      <c r="K170" s="3">
        <v>11</v>
      </c>
      <c r="L170" s="3">
        <v>298.38</v>
      </c>
      <c r="M170" s="3">
        <v>3282.18</v>
      </c>
      <c r="N170" s="3">
        <v>2138.9499999999998</v>
      </c>
      <c r="O170" s="3">
        <v>1143.23</v>
      </c>
      <c r="P170" s="3">
        <v>3778.68</v>
      </c>
    </row>
    <row r="171" spans="1:16">
      <c r="A171" t="s">
        <v>375</v>
      </c>
      <c r="B171" s="2" t="s">
        <v>292</v>
      </c>
      <c r="C171" t="s">
        <v>111</v>
      </c>
      <c r="D171" t="s">
        <v>40</v>
      </c>
      <c r="E171" t="s">
        <v>34</v>
      </c>
      <c r="F171" t="s">
        <v>35</v>
      </c>
      <c r="G171" t="s">
        <v>41</v>
      </c>
      <c r="H171" t="s">
        <v>69</v>
      </c>
      <c r="I171" t="s">
        <v>69</v>
      </c>
      <c r="J171" t="s">
        <v>70</v>
      </c>
      <c r="K171" s="3">
        <v>9</v>
      </c>
      <c r="L171" s="3">
        <v>11.92</v>
      </c>
      <c r="M171" s="3">
        <v>107.28</v>
      </c>
      <c r="N171" s="3">
        <v>35.82</v>
      </c>
      <c r="O171" s="3">
        <v>71.459999999999994</v>
      </c>
      <c r="P171" s="3">
        <v>96.48</v>
      </c>
    </row>
    <row r="172" spans="1:16">
      <c r="A172" t="s">
        <v>376</v>
      </c>
      <c r="B172" s="2" t="s">
        <v>377</v>
      </c>
      <c r="C172" t="s">
        <v>114</v>
      </c>
      <c r="D172" t="s">
        <v>33</v>
      </c>
      <c r="E172" t="s">
        <v>64</v>
      </c>
      <c r="F172" t="s">
        <v>105</v>
      </c>
      <c r="G172" t="s">
        <v>22</v>
      </c>
      <c r="H172" t="s">
        <v>60</v>
      </c>
      <c r="I172" t="s">
        <v>60</v>
      </c>
      <c r="J172" t="s">
        <v>89</v>
      </c>
      <c r="K172" s="3">
        <v>11</v>
      </c>
      <c r="L172" s="3">
        <v>59.77</v>
      </c>
      <c r="M172" s="3">
        <v>657.47</v>
      </c>
      <c r="N172" s="3">
        <v>319.76</v>
      </c>
      <c r="O172" s="3">
        <v>337.71</v>
      </c>
      <c r="P172" s="3">
        <v>595.52</v>
      </c>
    </row>
    <row r="173" spans="1:16">
      <c r="A173" t="s">
        <v>378</v>
      </c>
      <c r="B173" s="2" t="s">
        <v>379</v>
      </c>
      <c r="C173" t="s">
        <v>155</v>
      </c>
      <c r="D173" t="s">
        <v>82</v>
      </c>
      <c r="E173" t="s">
        <v>64</v>
      </c>
      <c r="F173" t="s">
        <v>103</v>
      </c>
      <c r="G173" t="s">
        <v>22</v>
      </c>
      <c r="H173" t="s">
        <v>36</v>
      </c>
      <c r="I173" t="s">
        <v>36</v>
      </c>
      <c r="J173" t="s">
        <v>70</v>
      </c>
      <c r="K173" s="3">
        <v>8</v>
      </c>
      <c r="L173" s="3">
        <v>95.1</v>
      </c>
      <c r="M173" s="3">
        <v>760.8</v>
      </c>
      <c r="N173" s="3">
        <v>466.33</v>
      </c>
      <c r="O173" s="3">
        <v>294.47000000000003</v>
      </c>
      <c r="P173" s="3">
        <v>740.65</v>
      </c>
    </row>
    <row r="174" spans="1:16">
      <c r="A174" t="s">
        <v>380</v>
      </c>
      <c r="B174" s="2" t="s">
        <v>381</v>
      </c>
      <c r="C174" t="s">
        <v>114</v>
      </c>
      <c r="D174" t="s">
        <v>33</v>
      </c>
      <c r="E174" t="s">
        <v>64</v>
      </c>
      <c r="F174" t="s">
        <v>145</v>
      </c>
      <c r="G174" t="s">
        <v>46</v>
      </c>
      <c r="H174" t="s">
        <v>75</v>
      </c>
      <c r="I174" t="s">
        <v>75</v>
      </c>
      <c r="J174" t="s">
        <v>61</v>
      </c>
      <c r="K174" s="3">
        <v>14</v>
      </c>
      <c r="L174" s="3">
        <v>449.16</v>
      </c>
      <c r="M174" s="3">
        <v>6288.24</v>
      </c>
      <c r="N174" s="3">
        <v>3776.5</v>
      </c>
      <c r="O174" s="3">
        <v>2511.7399999999998</v>
      </c>
      <c r="P174" s="3">
        <v>5927.08</v>
      </c>
    </row>
    <row r="175" spans="1:16">
      <c r="A175" t="s">
        <v>382</v>
      </c>
      <c r="B175" s="2" t="s">
        <v>383</v>
      </c>
      <c r="C175" t="s">
        <v>102</v>
      </c>
      <c r="D175" t="s">
        <v>82</v>
      </c>
      <c r="E175" t="s">
        <v>20</v>
      </c>
      <c r="F175" t="s">
        <v>50</v>
      </c>
      <c r="G175" t="s">
        <v>22</v>
      </c>
      <c r="H175" t="s">
        <v>23</v>
      </c>
      <c r="I175" t="s">
        <v>23</v>
      </c>
      <c r="J175" t="s">
        <v>52</v>
      </c>
      <c r="K175" s="3">
        <v>10</v>
      </c>
      <c r="L175" s="3">
        <v>272.3</v>
      </c>
      <c r="M175" s="3">
        <v>2723</v>
      </c>
      <c r="N175" s="3">
        <v>1914.71</v>
      </c>
      <c r="O175" s="3">
        <v>808.29</v>
      </c>
      <c r="P175" s="3">
        <v>2795.13</v>
      </c>
    </row>
    <row r="176" spans="1:16">
      <c r="A176" t="s">
        <v>384</v>
      </c>
      <c r="B176" s="2" t="s">
        <v>245</v>
      </c>
      <c r="C176" t="s">
        <v>27</v>
      </c>
      <c r="D176" t="s">
        <v>19</v>
      </c>
      <c r="E176" t="s">
        <v>20</v>
      </c>
      <c r="F176" t="s">
        <v>56</v>
      </c>
      <c r="G176" t="s">
        <v>22</v>
      </c>
      <c r="H176" t="s">
        <v>36</v>
      </c>
      <c r="I176" t="s">
        <v>36</v>
      </c>
      <c r="J176" t="s">
        <v>84</v>
      </c>
      <c r="K176" s="3">
        <v>11</v>
      </c>
      <c r="L176" s="3">
        <v>92.59</v>
      </c>
      <c r="M176" s="3">
        <v>1018.49</v>
      </c>
      <c r="N176" s="3">
        <v>663.82</v>
      </c>
      <c r="O176" s="3">
        <v>354.67</v>
      </c>
      <c r="P176" s="3">
        <v>996.04</v>
      </c>
    </row>
    <row r="177" spans="1:16">
      <c r="A177" t="s">
        <v>385</v>
      </c>
      <c r="B177" s="2" t="s">
        <v>357</v>
      </c>
      <c r="C177" t="s">
        <v>32</v>
      </c>
      <c r="D177" t="s">
        <v>33</v>
      </c>
      <c r="E177" t="s">
        <v>64</v>
      </c>
      <c r="F177" t="s">
        <v>103</v>
      </c>
      <c r="G177" t="s">
        <v>22</v>
      </c>
      <c r="H177" t="s">
        <v>95</v>
      </c>
      <c r="I177" t="s">
        <v>95</v>
      </c>
      <c r="J177" t="s">
        <v>84</v>
      </c>
      <c r="K177" s="3">
        <v>11</v>
      </c>
      <c r="L177" s="3">
        <v>602.80999999999995</v>
      </c>
      <c r="M177" s="3">
        <v>6630.91</v>
      </c>
      <c r="N177" s="3">
        <v>5893.87</v>
      </c>
      <c r="O177" s="3">
        <v>737.04</v>
      </c>
      <c r="P177" s="3">
        <v>6841.55</v>
      </c>
    </row>
    <row r="178" spans="1:16">
      <c r="A178" t="s">
        <v>386</v>
      </c>
      <c r="B178" s="2" t="s">
        <v>387</v>
      </c>
      <c r="C178" t="s">
        <v>27</v>
      </c>
      <c r="D178" t="s">
        <v>19</v>
      </c>
      <c r="E178" t="s">
        <v>73</v>
      </c>
      <c r="F178" t="s">
        <v>128</v>
      </c>
      <c r="G178" t="s">
        <v>46</v>
      </c>
      <c r="H178" t="s">
        <v>78</v>
      </c>
      <c r="I178" t="s">
        <v>78</v>
      </c>
      <c r="J178" t="s">
        <v>61</v>
      </c>
      <c r="K178" s="3">
        <v>20</v>
      </c>
      <c r="L178" s="3">
        <v>181.84</v>
      </c>
      <c r="M178" s="3">
        <v>3636.8</v>
      </c>
      <c r="N178" s="3">
        <v>2457.44</v>
      </c>
      <c r="O178" s="3">
        <v>1179.3599999999999</v>
      </c>
      <c r="P178" s="3">
        <v>3472.17</v>
      </c>
    </row>
    <row r="179" spans="1:16">
      <c r="A179" t="s">
        <v>388</v>
      </c>
      <c r="B179" s="2" t="s">
        <v>389</v>
      </c>
      <c r="C179" t="s">
        <v>81</v>
      </c>
      <c r="D179" t="s">
        <v>82</v>
      </c>
      <c r="E179" t="s">
        <v>64</v>
      </c>
      <c r="F179" t="s">
        <v>145</v>
      </c>
      <c r="G179" t="s">
        <v>41</v>
      </c>
      <c r="H179" t="s">
        <v>86</v>
      </c>
      <c r="I179" t="s">
        <v>86</v>
      </c>
      <c r="J179" t="s">
        <v>70</v>
      </c>
      <c r="K179" s="3">
        <v>4</v>
      </c>
      <c r="L179" s="3">
        <v>17.53</v>
      </c>
      <c r="M179" s="3">
        <v>70.12</v>
      </c>
      <c r="N179" s="3">
        <v>33.54</v>
      </c>
      <c r="O179" s="3">
        <v>36.58</v>
      </c>
      <c r="P179" s="3">
        <v>73.930000000000007</v>
      </c>
    </row>
    <row r="180" spans="1:16">
      <c r="A180" t="s">
        <v>390</v>
      </c>
      <c r="B180" s="2" t="s">
        <v>391</v>
      </c>
      <c r="C180" t="s">
        <v>27</v>
      </c>
      <c r="D180" t="s">
        <v>19</v>
      </c>
      <c r="E180" t="s">
        <v>34</v>
      </c>
      <c r="F180" t="s">
        <v>123</v>
      </c>
      <c r="G180" t="s">
        <v>46</v>
      </c>
      <c r="H180" t="s">
        <v>75</v>
      </c>
      <c r="I180" t="s">
        <v>75</v>
      </c>
      <c r="J180" t="s">
        <v>29</v>
      </c>
      <c r="K180" s="3">
        <v>6</v>
      </c>
      <c r="L180" s="3">
        <v>427.02</v>
      </c>
      <c r="M180" s="3">
        <v>2562.12</v>
      </c>
      <c r="N180" s="3">
        <v>1684.07</v>
      </c>
      <c r="O180" s="3">
        <v>878.05</v>
      </c>
      <c r="P180" s="3">
        <v>2824.52</v>
      </c>
    </row>
    <row r="181" spans="1:16">
      <c r="A181" t="s">
        <v>392</v>
      </c>
      <c r="B181" s="2" t="s">
        <v>393</v>
      </c>
      <c r="C181" t="s">
        <v>111</v>
      </c>
      <c r="D181" t="s">
        <v>40</v>
      </c>
      <c r="E181" t="s">
        <v>73</v>
      </c>
      <c r="F181" t="s">
        <v>83</v>
      </c>
      <c r="G181" t="s">
        <v>46</v>
      </c>
      <c r="H181" t="s">
        <v>75</v>
      </c>
      <c r="I181" t="s">
        <v>75</v>
      </c>
      <c r="J181" t="s">
        <v>57</v>
      </c>
      <c r="K181" s="3">
        <v>15</v>
      </c>
      <c r="L181" s="3">
        <v>394.03</v>
      </c>
      <c r="M181" s="3">
        <v>5910.45</v>
      </c>
      <c r="N181" s="3">
        <v>4121.75</v>
      </c>
      <c r="O181" s="3">
        <v>1788.7</v>
      </c>
      <c r="P181" s="3">
        <v>5337.14</v>
      </c>
    </row>
    <row r="182" spans="1:16">
      <c r="A182" t="s">
        <v>394</v>
      </c>
      <c r="B182" s="2" t="s">
        <v>367</v>
      </c>
      <c r="C182" t="s">
        <v>102</v>
      </c>
      <c r="D182" t="s">
        <v>82</v>
      </c>
      <c r="E182" t="s">
        <v>64</v>
      </c>
      <c r="F182" t="s">
        <v>103</v>
      </c>
      <c r="G182" t="s">
        <v>46</v>
      </c>
      <c r="H182" t="s">
        <v>47</v>
      </c>
      <c r="I182" t="s">
        <v>47</v>
      </c>
      <c r="J182" t="s">
        <v>29</v>
      </c>
      <c r="K182" s="3">
        <v>18</v>
      </c>
      <c r="L182" s="3">
        <v>311.16000000000003</v>
      </c>
      <c r="M182" s="3">
        <v>5600.88</v>
      </c>
      <c r="N182" s="3">
        <v>3360.17</v>
      </c>
      <c r="O182" s="3">
        <v>2240.71</v>
      </c>
      <c r="P182" s="3">
        <v>6058.92</v>
      </c>
    </row>
    <row r="183" spans="1:16">
      <c r="A183" t="s">
        <v>395</v>
      </c>
      <c r="B183" s="2" t="s">
        <v>202</v>
      </c>
      <c r="C183" t="s">
        <v>142</v>
      </c>
      <c r="D183" t="s">
        <v>33</v>
      </c>
      <c r="E183" t="s">
        <v>64</v>
      </c>
      <c r="F183" t="s">
        <v>145</v>
      </c>
      <c r="G183" t="s">
        <v>46</v>
      </c>
      <c r="H183" t="s">
        <v>78</v>
      </c>
      <c r="I183" t="s">
        <v>78</v>
      </c>
      <c r="J183" t="s">
        <v>57</v>
      </c>
      <c r="K183" s="3">
        <v>9</v>
      </c>
      <c r="L183" s="3">
        <v>201.86</v>
      </c>
      <c r="M183" s="3">
        <v>1816.74</v>
      </c>
      <c r="N183" s="3">
        <v>1091.8900000000001</v>
      </c>
      <c r="O183" s="3">
        <v>724.85</v>
      </c>
      <c r="P183" s="3">
        <v>1666.48</v>
      </c>
    </row>
    <row r="184" spans="1:16">
      <c r="A184" t="s">
        <v>396</v>
      </c>
      <c r="B184" s="2" t="s">
        <v>397</v>
      </c>
      <c r="C184" t="s">
        <v>114</v>
      </c>
      <c r="D184" t="s">
        <v>33</v>
      </c>
      <c r="E184" t="s">
        <v>34</v>
      </c>
      <c r="F184" t="s">
        <v>123</v>
      </c>
      <c r="G184" t="s">
        <v>41</v>
      </c>
      <c r="H184" t="s">
        <v>42</v>
      </c>
      <c r="I184" t="s">
        <v>42</v>
      </c>
      <c r="J184" t="s">
        <v>52</v>
      </c>
      <c r="K184" s="3">
        <v>16</v>
      </c>
      <c r="L184" s="3">
        <v>9.3699999999999992</v>
      </c>
      <c r="M184" s="3">
        <v>149.91999999999999</v>
      </c>
      <c r="N184" s="3">
        <v>47.12</v>
      </c>
      <c r="O184" s="3">
        <v>102.8</v>
      </c>
      <c r="P184" s="3">
        <v>145.72999999999999</v>
      </c>
    </row>
    <row r="185" spans="1:16">
      <c r="A185" t="s">
        <v>398</v>
      </c>
      <c r="B185" s="2" t="s">
        <v>301</v>
      </c>
      <c r="C185" t="s">
        <v>114</v>
      </c>
      <c r="D185" t="s">
        <v>33</v>
      </c>
      <c r="E185" t="s">
        <v>64</v>
      </c>
      <c r="F185" t="s">
        <v>65</v>
      </c>
      <c r="G185" t="s">
        <v>41</v>
      </c>
      <c r="H185" t="s">
        <v>69</v>
      </c>
      <c r="I185" t="s">
        <v>69</v>
      </c>
      <c r="J185" t="s">
        <v>89</v>
      </c>
      <c r="K185" s="3">
        <v>10</v>
      </c>
      <c r="L185" s="3">
        <v>11.5</v>
      </c>
      <c r="M185" s="3">
        <v>115</v>
      </c>
      <c r="N185" s="3">
        <v>41.82</v>
      </c>
      <c r="O185" s="3">
        <v>73.180000000000007</v>
      </c>
      <c r="P185" s="3">
        <v>100.93</v>
      </c>
    </row>
    <row r="186" spans="1:16">
      <c r="A186" t="s">
        <v>399</v>
      </c>
      <c r="B186" s="2" t="s">
        <v>400</v>
      </c>
      <c r="C186" t="s">
        <v>18</v>
      </c>
      <c r="D186" t="s">
        <v>19</v>
      </c>
      <c r="E186" t="s">
        <v>64</v>
      </c>
      <c r="F186" t="s">
        <v>105</v>
      </c>
      <c r="G186" t="s">
        <v>22</v>
      </c>
      <c r="H186" t="s">
        <v>60</v>
      </c>
      <c r="I186" t="s">
        <v>60</v>
      </c>
      <c r="J186" t="s">
        <v>57</v>
      </c>
      <c r="K186" s="3">
        <v>9</v>
      </c>
      <c r="L186" s="3">
        <v>59.76</v>
      </c>
      <c r="M186" s="3">
        <v>537.84</v>
      </c>
      <c r="N186" s="3">
        <v>260.20999999999998</v>
      </c>
      <c r="O186" s="3">
        <v>277.63</v>
      </c>
      <c r="P186" s="3">
        <v>573.05999999999995</v>
      </c>
    </row>
    <row r="187" spans="1:16">
      <c r="A187" t="s">
        <v>401</v>
      </c>
      <c r="B187" s="2" t="s">
        <v>88</v>
      </c>
      <c r="C187" t="s">
        <v>32</v>
      </c>
      <c r="D187" t="s">
        <v>33</v>
      </c>
      <c r="E187" t="s">
        <v>73</v>
      </c>
      <c r="F187" t="s">
        <v>137</v>
      </c>
      <c r="G187" t="s">
        <v>22</v>
      </c>
      <c r="H187" t="s">
        <v>95</v>
      </c>
      <c r="I187" t="s">
        <v>95</v>
      </c>
      <c r="J187" t="s">
        <v>70</v>
      </c>
      <c r="K187" s="3">
        <v>16</v>
      </c>
      <c r="L187" s="3">
        <v>638.73</v>
      </c>
      <c r="M187" s="3">
        <v>10219.68</v>
      </c>
      <c r="N187" s="3">
        <v>7987.65</v>
      </c>
      <c r="O187" s="3">
        <v>2232.0300000000002</v>
      </c>
      <c r="P187" s="3">
        <v>11443.67</v>
      </c>
    </row>
    <row r="188" spans="1:16">
      <c r="A188" t="s">
        <v>402</v>
      </c>
      <c r="B188" s="2" t="s">
        <v>91</v>
      </c>
      <c r="C188" t="s">
        <v>81</v>
      </c>
      <c r="D188" t="s">
        <v>82</v>
      </c>
      <c r="E188" t="s">
        <v>64</v>
      </c>
      <c r="F188" t="s">
        <v>65</v>
      </c>
      <c r="G188" t="s">
        <v>41</v>
      </c>
      <c r="H188" t="s">
        <v>69</v>
      </c>
      <c r="I188" t="s">
        <v>69</v>
      </c>
      <c r="J188" t="s">
        <v>24</v>
      </c>
      <c r="K188" s="3">
        <v>10</v>
      </c>
      <c r="L188" s="3">
        <v>12.61</v>
      </c>
      <c r="M188" s="3">
        <v>126.1</v>
      </c>
      <c r="N188" s="3">
        <v>39.28</v>
      </c>
      <c r="O188" s="3">
        <v>86.82</v>
      </c>
      <c r="P188" s="3">
        <v>135.69</v>
      </c>
    </row>
    <row r="189" spans="1:16">
      <c r="A189" t="s">
        <v>403</v>
      </c>
      <c r="B189" s="2" t="s">
        <v>404</v>
      </c>
      <c r="C189" t="s">
        <v>18</v>
      </c>
      <c r="D189" t="s">
        <v>19</v>
      </c>
      <c r="E189" t="s">
        <v>73</v>
      </c>
      <c r="F189" t="s">
        <v>83</v>
      </c>
      <c r="G189" t="s">
        <v>22</v>
      </c>
      <c r="H189" t="s">
        <v>36</v>
      </c>
      <c r="I189" t="s">
        <v>36</v>
      </c>
      <c r="J189" t="s">
        <v>29</v>
      </c>
      <c r="K189" s="3">
        <v>6</v>
      </c>
      <c r="L189" s="3">
        <v>102.26</v>
      </c>
      <c r="M189" s="3">
        <v>613.55999999999995</v>
      </c>
      <c r="N189" s="3">
        <v>375.62</v>
      </c>
      <c r="O189" s="3">
        <v>237.94</v>
      </c>
      <c r="P189" s="3">
        <v>529.33000000000004</v>
      </c>
    </row>
    <row r="190" spans="1:16">
      <c r="A190" t="s">
        <v>405</v>
      </c>
      <c r="B190" s="2" t="s">
        <v>406</v>
      </c>
      <c r="C190" t="s">
        <v>155</v>
      </c>
      <c r="D190" t="s">
        <v>82</v>
      </c>
      <c r="E190" t="s">
        <v>34</v>
      </c>
      <c r="F190" t="s">
        <v>35</v>
      </c>
      <c r="G190" t="s">
        <v>22</v>
      </c>
      <c r="H190" t="s">
        <v>60</v>
      </c>
      <c r="I190" t="s">
        <v>60</v>
      </c>
      <c r="J190" t="s">
        <v>89</v>
      </c>
      <c r="K190" s="3">
        <v>4</v>
      </c>
      <c r="L190" s="3">
        <v>55.75</v>
      </c>
      <c r="M190" s="3">
        <v>223</v>
      </c>
      <c r="N190" s="3">
        <v>125.14</v>
      </c>
      <c r="O190" s="3">
        <v>97.86</v>
      </c>
      <c r="P190" s="3">
        <v>215.7</v>
      </c>
    </row>
    <row r="191" spans="1:16">
      <c r="A191" t="s">
        <v>407</v>
      </c>
      <c r="B191" s="2" t="s">
        <v>408</v>
      </c>
      <c r="C191" t="s">
        <v>18</v>
      </c>
      <c r="D191" t="s">
        <v>19</v>
      </c>
      <c r="E191" t="s">
        <v>64</v>
      </c>
      <c r="F191" t="s">
        <v>105</v>
      </c>
      <c r="G191" t="s">
        <v>46</v>
      </c>
      <c r="H191" t="s">
        <v>66</v>
      </c>
      <c r="I191" t="s">
        <v>66</v>
      </c>
      <c r="J191" t="s">
        <v>52</v>
      </c>
      <c r="K191" s="3">
        <v>4</v>
      </c>
      <c r="L191" s="3">
        <v>248.19</v>
      </c>
      <c r="M191" s="3">
        <v>992.76</v>
      </c>
      <c r="N191" s="3">
        <v>629.16</v>
      </c>
      <c r="O191" s="3">
        <v>363.6</v>
      </c>
      <c r="P191" s="3">
        <v>1097.8900000000001</v>
      </c>
    </row>
    <row r="192" spans="1:16">
      <c r="A192" t="s">
        <v>409</v>
      </c>
      <c r="B192" s="2" t="s">
        <v>410</v>
      </c>
      <c r="C192" t="s">
        <v>55</v>
      </c>
      <c r="D192" t="s">
        <v>19</v>
      </c>
      <c r="E192" t="s">
        <v>20</v>
      </c>
      <c r="F192" t="s">
        <v>21</v>
      </c>
      <c r="G192" t="s">
        <v>41</v>
      </c>
      <c r="H192" t="s">
        <v>69</v>
      </c>
      <c r="I192" t="s">
        <v>69</v>
      </c>
      <c r="J192" t="s">
        <v>24</v>
      </c>
      <c r="K192" s="3">
        <v>13</v>
      </c>
      <c r="L192" s="3">
        <v>11.22</v>
      </c>
      <c r="M192" s="3">
        <v>145.86000000000001</v>
      </c>
      <c r="N192" s="3">
        <v>53.7</v>
      </c>
      <c r="O192" s="3">
        <v>92.16</v>
      </c>
      <c r="P192" s="3">
        <v>150.29</v>
      </c>
    </row>
    <row r="193" spans="1:16">
      <c r="A193" t="s">
        <v>411</v>
      </c>
      <c r="B193" s="2" t="s">
        <v>412</v>
      </c>
      <c r="C193" t="s">
        <v>102</v>
      </c>
      <c r="D193" t="s">
        <v>82</v>
      </c>
      <c r="E193" t="s">
        <v>20</v>
      </c>
      <c r="F193" t="s">
        <v>56</v>
      </c>
      <c r="G193" t="s">
        <v>22</v>
      </c>
      <c r="H193" t="s">
        <v>36</v>
      </c>
      <c r="I193" t="s">
        <v>36</v>
      </c>
      <c r="J193" t="s">
        <v>89</v>
      </c>
      <c r="K193" s="3">
        <v>8</v>
      </c>
      <c r="L193" s="3">
        <v>91.65</v>
      </c>
      <c r="M193" s="3">
        <v>733.2</v>
      </c>
      <c r="N193" s="3">
        <v>456.33</v>
      </c>
      <c r="O193" s="3">
        <v>276.87</v>
      </c>
      <c r="P193" s="3">
        <v>721.65</v>
      </c>
    </row>
    <row r="194" spans="1:16">
      <c r="A194" t="s">
        <v>413</v>
      </c>
      <c r="B194" s="2" t="s">
        <v>414</v>
      </c>
      <c r="C194" t="s">
        <v>114</v>
      </c>
      <c r="D194" t="s">
        <v>33</v>
      </c>
      <c r="E194" t="s">
        <v>34</v>
      </c>
      <c r="F194" t="s">
        <v>35</v>
      </c>
      <c r="G194" t="s">
        <v>41</v>
      </c>
      <c r="H194" t="s">
        <v>42</v>
      </c>
      <c r="I194" t="s">
        <v>42</v>
      </c>
      <c r="J194" t="s">
        <v>84</v>
      </c>
      <c r="K194" s="3">
        <v>2</v>
      </c>
      <c r="L194" s="3">
        <v>9.35</v>
      </c>
      <c r="M194" s="3">
        <v>18.7</v>
      </c>
      <c r="N194" s="3">
        <v>6.1</v>
      </c>
      <c r="O194" s="3">
        <v>12.6</v>
      </c>
      <c r="P194" s="3">
        <v>18.940000000000001</v>
      </c>
    </row>
    <row r="195" spans="1:16">
      <c r="A195" t="s">
        <v>415</v>
      </c>
      <c r="B195" s="2" t="s">
        <v>412</v>
      </c>
      <c r="C195" t="s">
        <v>102</v>
      </c>
      <c r="D195" t="s">
        <v>82</v>
      </c>
      <c r="E195" t="s">
        <v>34</v>
      </c>
      <c r="F195" t="s">
        <v>35</v>
      </c>
      <c r="G195" t="s">
        <v>46</v>
      </c>
      <c r="H195" t="s">
        <v>78</v>
      </c>
      <c r="I195" t="s">
        <v>78</v>
      </c>
      <c r="J195" t="s">
        <v>84</v>
      </c>
      <c r="K195" s="3">
        <v>8</v>
      </c>
      <c r="L195" s="3">
        <v>189.83</v>
      </c>
      <c r="M195" s="3">
        <v>1518.64</v>
      </c>
      <c r="N195" s="3">
        <v>933.04</v>
      </c>
      <c r="O195" s="3">
        <v>585.6</v>
      </c>
      <c r="P195" s="3">
        <v>1361.84</v>
      </c>
    </row>
    <row r="196" spans="1:16">
      <c r="A196" t="s">
        <v>416</v>
      </c>
      <c r="B196" s="2" t="s">
        <v>417</v>
      </c>
      <c r="C196" t="s">
        <v>155</v>
      </c>
      <c r="D196" t="s">
        <v>82</v>
      </c>
      <c r="E196" t="s">
        <v>34</v>
      </c>
      <c r="F196" t="s">
        <v>92</v>
      </c>
      <c r="G196" t="s">
        <v>46</v>
      </c>
      <c r="H196" t="s">
        <v>66</v>
      </c>
      <c r="I196" t="s">
        <v>66</v>
      </c>
      <c r="J196" t="s">
        <v>24</v>
      </c>
      <c r="K196" s="3">
        <v>7</v>
      </c>
      <c r="L196" s="3">
        <v>273.38</v>
      </c>
      <c r="M196" s="3">
        <v>1913.66</v>
      </c>
      <c r="N196" s="3">
        <v>1149.33</v>
      </c>
      <c r="O196" s="3">
        <v>764.33</v>
      </c>
      <c r="P196" s="3">
        <v>2082.29</v>
      </c>
    </row>
    <row r="197" spans="1:16">
      <c r="A197" t="s">
        <v>418</v>
      </c>
      <c r="B197" s="2" t="s">
        <v>94</v>
      </c>
      <c r="C197" t="s">
        <v>81</v>
      </c>
      <c r="D197" t="s">
        <v>82</v>
      </c>
      <c r="E197" t="s">
        <v>34</v>
      </c>
      <c r="F197" t="s">
        <v>35</v>
      </c>
      <c r="G197" t="s">
        <v>46</v>
      </c>
      <c r="H197" t="s">
        <v>75</v>
      </c>
      <c r="I197" t="s">
        <v>75</v>
      </c>
      <c r="J197" t="s">
        <v>84</v>
      </c>
      <c r="K197" s="3">
        <v>18</v>
      </c>
      <c r="L197" s="3">
        <v>383.19</v>
      </c>
      <c r="M197" s="3">
        <v>6897.42</v>
      </c>
      <c r="N197" s="3">
        <v>5243.06</v>
      </c>
      <c r="O197" s="3">
        <v>1654.36</v>
      </c>
      <c r="P197" s="3">
        <v>6350.83</v>
      </c>
    </row>
    <row r="198" spans="1:16">
      <c r="A198" t="s">
        <v>419</v>
      </c>
      <c r="B198" s="2" t="s">
        <v>365</v>
      </c>
      <c r="C198" t="s">
        <v>111</v>
      </c>
      <c r="D198" t="s">
        <v>40</v>
      </c>
      <c r="E198" t="s">
        <v>64</v>
      </c>
      <c r="F198" t="s">
        <v>103</v>
      </c>
      <c r="G198" t="s">
        <v>46</v>
      </c>
      <c r="H198" t="s">
        <v>47</v>
      </c>
      <c r="I198" t="s">
        <v>47</v>
      </c>
      <c r="J198" t="s">
        <v>70</v>
      </c>
      <c r="K198" s="3">
        <v>16</v>
      </c>
      <c r="L198" s="3">
        <v>323.45</v>
      </c>
      <c r="M198" s="3">
        <v>5175.2</v>
      </c>
      <c r="N198" s="3">
        <v>2915.65</v>
      </c>
      <c r="O198" s="3">
        <v>2259.5500000000002</v>
      </c>
      <c r="P198" s="3">
        <v>5323.37</v>
      </c>
    </row>
    <row r="199" spans="1:16">
      <c r="A199" t="s">
        <v>420</v>
      </c>
      <c r="B199" s="2" t="s">
        <v>421</v>
      </c>
      <c r="C199" t="s">
        <v>155</v>
      </c>
      <c r="D199" t="s">
        <v>82</v>
      </c>
      <c r="E199" t="s">
        <v>64</v>
      </c>
      <c r="F199" t="s">
        <v>65</v>
      </c>
      <c r="G199" t="s">
        <v>46</v>
      </c>
      <c r="H199" t="s">
        <v>75</v>
      </c>
      <c r="I199" t="s">
        <v>75</v>
      </c>
      <c r="J199" t="s">
        <v>70</v>
      </c>
      <c r="K199" s="3">
        <v>10</v>
      </c>
      <c r="L199" s="3">
        <v>424.94</v>
      </c>
      <c r="M199" s="3">
        <v>4249.3999999999996</v>
      </c>
      <c r="N199" s="3">
        <v>2862.52</v>
      </c>
      <c r="O199" s="3">
        <v>1386.88</v>
      </c>
      <c r="P199" s="3">
        <v>4200.88</v>
      </c>
    </row>
    <row r="200" spans="1:16">
      <c r="A200" t="s">
        <v>422</v>
      </c>
      <c r="B200" s="2" t="s">
        <v>197</v>
      </c>
      <c r="C200" t="s">
        <v>55</v>
      </c>
      <c r="D200" t="s">
        <v>19</v>
      </c>
      <c r="E200" t="s">
        <v>20</v>
      </c>
      <c r="F200" t="s">
        <v>28</v>
      </c>
      <c r="G200" t="s">
        <v>41</v>
      </c>
      <c r="H200" t="s">
        <v>42</v>
      </c>
      <c r="I200" t="s">
        <v>42</v>
      </c>
      <c r="J200" t="s">
        <v>24</v>
      </c>
      <c r="K200" s="3">
        <v>18</v>
      </c>
      <c r="L200" s="3">
        <v>9.36</v>
      </c>
      <c r="M200" s="3">
        <v>168.48</v>
      </c>
      <c r="N200" s="3">
        <v>56.67</v>
      </c>
      <c r="O200" s="3">
        <v>111.81</v>
      </c>
      <c r="P200" s="3">
        <v>198.32</v>
      </c>
    </row>
    <row r="201" spans="1:16">
      <c r="A201" t="s">
        <v>423</v>
      </c>
      <c r="B201" s="2" t="s">
        <v>236</v>
      </c>
      <c r="C201" t="s">
        <v>155</v>
      </c>
      <c r="D201" t="s">
        <v>82</v>
      </c>
      <c r="E201" t="s">
        <v>34</v>
      </c>
      <c r="F201" t="s">
        <v>92</v>
      </c>
      <c r="G201" t="s">
        <v>22</v>
      </c>
      <c r="H201" t="s">
        <v>23</v>
      </c>
      <c r="I201" t="s">
        <v>23</v>
      </c>
      <c r="J201" t="s">
        <v>89</v>
      </c>
      <c r="K201" s="3">
        <v>14</v>
      </c>
      <c r="L201" s="3">
        <v>294.89</v>
      </c>
      <c r="M201" s="3">
        <v>4128.46</v>
      </c>
      <c r="N201" s="3">
        <v>2764.85</v>
      </c>
      <c r="O201" s="3">
        <v>1363.61</v>
      </c>
      <c r="P201" s="3">
        <v>4797.13</v>
      </c>
    </row>
    <row r="202" spans="1:16">
      <c r="A202" t="s">
        <v>424</v>
      </c>
      <c r="B202" s="2" t="s">
        <v>425</v>
      </c>
      <c r="C202" t="s">
        <v>102</v>
      </c>
      <c r="D202" t="s">
        <v>82</v>
      </c>
      <c r="E202" t="s">
        <v>20</v>
      </c>
      <c r="F202" t="s">
        <v>56</v>
      </c>
      <c r="G202" t="s">
        <v>46</v>
      </c>
      <c r="H202" t="s">
        <v>78</v>
      </c>
      <c r="I202" t="s">
        <v>78</v>
      </c>
      <c r="J202" t="s">
        <v>57</v>
      </c>
      <c r="K202" s="3">
        <v>18</v>
      </c>
      <c r="L202" s="3">
        <v>180.13</v>
      </c>
      <c r="M202" s="3">
        <v>3242.34</v>
      </c>
      <c r="N202" s="3">
        <v>2136.9</v>
      </c>
      <c r="O202" s="3">
        <v>1105.44</v>
      </c>
      <c r="P202" s="3">
        <v>2900.5</v>
      </c>
    </row>
    <row r="203" spans="1:16">
      <c r="A203" t="s">
        <v>426</v>
      </c>
      <c r="B203" s="2" t="s">
        <v>427</v>
      </c>
      <c r="C203" t="s">
        <v>108</v>
      </c>
      <c r="D203" t="s">
        <v>40</v>
      </c>
      <c r="E203" t="s">
        <v>20</v>
      </c>
      <c r="F203" t="s">
        <v>21</v>
      </c>
      <c r="G203" t="s">
        <v>41</v>
      </c>
      <c r="H203" t="s">
        <v>51</v>
      </c>
      <c r="I203" t="s">
        <v>51</v>
      </c>
      <c r="J203" t="s">
        <v>52</v>
      </c>
      <c r="K203" s="3">
        <v>8</v>
      </c>
      <c r="L203" s="3">
        <v>22.14</v>
      </c>
      <c r="M203" s="3">
        <v>177.12</v>
      </c>
      <c r="N203" s="3">
        <v>77.98</v>
      </c>
      <c r="O203" s="3">
        <v>99.14</v>
      </c>
      <c r="P203" s="3">
        <v>172.01</v>
      </c>
    </row>
    <row r="204" spans="1:16">
      <c r="A204" t="s">
        <v>428</v>
      </c>
      <c r="B204" s="2" t="s">
        <v>429</v>
      </c>
      <c r="C204" t="s">
        <v>32</v>
      </c>
      <c r="D204" t="s">
        <v>33</v>
      </c>
      <c r="E204" t="s">
        <v>20</v>
      </c>
      <c r="F204" t="s">
        <v>28</v>
      </c>
      <c r="G204" t="s">
        <v>46</v>
      </c>
      <c r="H204" t="s">
        <v>66</v>
      </c>
      <c r="I204" t="s">
        <v>66</v>
      </c>
      <c r="J204" t="s">
        <v>70</v>
      </c>
      <c r="K204" s="3">
        <v>1</v>
      </c>
      <c r="L204" s="3">
        <v>265.98</v>
      </c>
      <c r="M204" s="3">
        <v>265.98</v>
      </c>
      <c r="N204" s="3">
        <v>155.85</v>
      </c>
      <c r="O204" s="3">
        <v>110.13</v>
      </c>
      <c r="P204" s="3">
        <v>232.35</v>
      </c>
    </row>
    <row r="205" spans="1:16">
      <c r="A205" t="s">
        <v>430</v>
      </c>
      <c r="B205" s="2" t="s">
        <v>163</v>
      </c>
      <c r="C205" t="s">
        <v>155</v>
      </c>
      <c r="D205" t="s">
        <v>82</v>
      </c>
      <c r="E205" t="s">
        <v>20</v>
      </c>
      <c r="F205" t="s">
        <v>56</v>
      </c>
      <c r="G205" t="s">
        <v>46</v>
      </c>
      <c r="H205" t="s">
        <v>75</v>
      </c>
      <c r="I205" t="s">
        <v>75</v>
      </c>
      <c r="J205" t="s">
        <v>70</v>
      </c>
      <c r="K205" s="3">
        <v>8</v>
      </c>
      <c r="L205" s="3">
        <v>411.79</v>
      </c>
      <c r="M205" s="3">
        <v>3294.32</v>
      </c>
      <c r="N205" s="3">
        <v>2248.91</v>
      </c>
      <c r="O205" s="3">
        <v>1045.4100000000001</v>
      </c>
      <c r="P205" s="3">
        <v>3669.99</v>
      </c>
    </row>
    <row r="206" spans="1:16">
      <c r="A206" t="s">
        <v>431</v>
      </c>
      <c r="B206" s="2" t="s">
        <v>432</v>
      </c>
      <c r="C206" t="s">
        <v>111</v>
      </c>
      <c r="D206" t="s">
        <v>40</v>
      </c>
      <c r="E206" t="s">
        <v>34</v>
      </c>
      <c r="F206" t="s">
        <v>123</v>
      </c>
      <c r="G206" t="s">
        <v>46</v>
      </c>
      <c r="H206" t="s">
        <v>78</v>
      </c>
      <c r="I206" t="s">
        <v>78</v>
      </c>
      <c r="J206" t="s">
        <v>57</v>
      </c>
      <c r="K206" s="3">
        <v>11</v>
      </c>
      <c r="L206" s="3">
        <v>198.02</v>
      </c>
      <c r="M206" s="3">
        <v>2178.2199999999998</v>
      </c>
      <c r="N206" s="3">
        <v>1285.27</v>
      </c>
      <c r="O206" s="3">
        <v>892.95</v>
      </c>
      <c r="P206" s="3">
        <v>2519.5300000000002</v>
      </c>
    </row>
    <row r="207" spans="1:16">
      <c r="A207" t="s">
        <v>433</v>
      </c>
      <c r="B207" s="2" t="s">
        <v>434</v>
      </c>
      <c r="C207" t="s">
        <v>102</v>
      </c>
      <c r="D207" t="s">
        <v>82</v>
      </c>
      <c r="E207" t="s">
        <v>34</v>
      </c>
      <c r="F207" t="s">
        <v>35</v>
      </c>
      <c r="G207" t="s">
        <v>46</v>
      </c>
      <c r="H207" t="s">
        <v>47</v>
      </c>
      <c r="I207" t="s">
        <v>47</v>
      </c>
      <c r="J207" t="s">
        <v>61</v>
      </c>
      <c r="K207" s="3">
        <v>14</v>
      </c>
      <c r="L207" s="3">
        <v>317.81</v>
      </c>
      <c r="M207" s="3">
        <v>4449.34</v>
      </c>
      <c r="N207" s="3">
        <v>2674.86</v>
      </c>
      <c r="O207" s="3">
        <v>1774.48</v>
      </c>
      <c r="P207" s="3">
        <v>3854.95</v>
      </c>
    </row>
    <row r="208" spans="1:16">
      <c r="A208" t="s">
        <v>435</v>
      </c>
      <c r="B208" s="2" t="s">
        <v>173</v>
      </c>
      <c r="C208" t="s">
        <v>18</v>
      </c>
      <c r="D208" t="s">
        <v>19</v>
      </c>
      <c r="E208" t="s">
        <v>64</v>
      </c>
      <c r="F208" t="s">
        <v>145</v>
      </c>
      <c r="G208" t="s">
        <v>46</v>
      </c>
      <c r="H208" t="s">
        <v>66</v>
      </c>
      <c r="I208" t="s">
        <v>66</v>
      </c>
      <c r="J208" t="s">
        <v>89</v>
      </c>
      <c r="K208" s="3">
        <v>10</v>
      </c>
      <c r="L208" s="3">
        <v>255.23</v>
      </c>
      <c r="M208" s="3">
        <v>2552.3000000000002</v>
      </c>
      <c r="N208" s="3">
        <v>1580.23</v>
      </c>
      <c r="O208" s="3">
        <v>972.07</v>
      </c>
      <c r="P208" s="3">
        <v>2843.38</v>
      </c>
    </row>
    <row r="209" spans="1:16">
      <c r="A209" t="s">
        <v>436</v>
      </c>
      <c r="B209" s="2" t="s">
        <v>49</v>
      </c>
      <c r="C209" t="s">
        <v>32</v>
      </c>
      <c r="D209" t="s">
        <v>33</v>
      </c>
      <c r="E209" t="s">
        <v>73</v>
      </c>
      <c r="F209" t="s">
        <v>128</v>
      </c>
      <c r="G209" t="s">
        <v>46</v>
      </c>
      <c r="H209" t="s">
        <v>47</v>
      </c>
      <c r="I209" t="s">
        <v>47</v>
      </c>
      <c r="J209" t="s">
        <v>84</v>
      </c>
      <c r="K209" s="3">
        <v>2</v>
      </c>
      <c r="L209" s="3">
        <v>328.96</v>
      </c>
      <c r="M209" s="3">
        <v>657.92</v>
      </c>
      <c r="N209" s="3">
        <v>382.37</v>
      </c>
      <c r="O209" s="3">
        <v>275.55</v>
      </c>
      <c r="P209" s="3">
        <v>782.09</v>
      </c>
    </row>
    <row r="210" spans="1:16">
      <c r="A210" t="s">
        <v>437</v>
      </c>
      <c r="B210" s="2" t="s">
        <v>161</v>
      </c>
      <c r="C210" t="s">
        <v>102</v>
      </c>
      <c r="D210" t="s">
        <v>82</v>
      </c>
      <c r="E210" t="s">
        <v>34</v>
      </c>
      <c r="F210" t="s">
        <v>123</v>
      </c>
      <c r="G210" t="s">
        <v>41</v>
      </c>
      <c r="H210" t="s">
        <v>86</v>
      </c>
      <c r="I210" t="s">
        <v>86</v>
      </c>
      <c r="J210" t="s">
        <v>57</v>
      </c>
      <c r="K210" s="3">
        <v>12</v>
      </c>
      <c r="L210" s="3">
        <v>19.52</v>
      </c>
      <c r="M210" s="3">
        <v>234.24</v>
      </c>
      <c r="N210" s="3">
        <v>92.09</v>
      </c>
      <c r="O210" s="3">
        <v>142.15</v>
      </c>
      <c r="P210" s="3">
        <v>258.51</v>
      </c>
    </row>
    <row r="211" spans="1:16">
      <c r="A211" t="s">
        <v>438</v>
      </c>
      <c r="B211" s="2" t="s">
        <v>335</v>
      </c>
      <c r="C211" t="s">
        <v>108</v>
      </c>
      <c r="D211" t="s">
        <v>40</v>
      </c>
      <c r="E211" t="s">
        <v>64</v>
      </c>
      <c r="F211" t="s">
        <v>103</v>
      </c>
      <c r="G211" t="s">
        <v>22</v>
      </c>
      <c r="H211" t="s">
        <v>23</v>
      </c>
      <c r="I211" t="s">
        <v>23</v>
      </c>
      <c r="J211" t="s">
        <v>89</v>
      </c>
      <c r="K211" s="3">
        <v>19</v>
      </c>
      <c r="L211" s="3">
        <v>297.06</v>
      </c>
      <c r="M211" s="3">
        <v>5644.14</v>
      </c>
      <c r="N211" s="3">
        <v>3885.24</v>
      </c>
      <c r="O211" s="3">
        <v>1758.9</v>
      </c>
      <c r="P211" s="3">
        <v>5901.5</v>
      </c>
    </row>
    <row r="212" spans="1:16">
      <c r="A212" t="s">
        <v>439</v>
      </c>
      <c r="B212" s="2" t="s">
        <v>49</v>
      </c>
      <c r="C212" t="s">
        <v>32</v>
      </c>
      <c r="D212" t="s">
        <v>33</v>
      </c>
      <c r="E212" t="s">
        <v>34</v>
      </c>
      <c r="F212" t="s">
        <v>45</v>
      </c>
      <c r="G212" t="s">
        <v>22</v>
      </c>
      <c r="H212" t="s">
        <v>23</v>
      </c>
      <c r="I212" t="s">
        <v>23</v>
      </c>
      <c r="J212" t="s">
        <v>57</v>
      </c>
      <c r="K212" s="3">
        <v>4</v>
      </c>
      <c r="L212" s="3">
        <v>304.48</v>
      </c>
      <c r="M212" s="3">
        <v>1217.92</v>
      </c>
      <c r="N212" s="3">
        <v>819.75</v>
      </c>
      <c r="O212" s="3">
        <v>398.17</v>
      </c>
      <c r="P212" s="3">
        <v>1356.78</v>
      </c>
    </row>
    <row r="213" spans="1:16">
      <c r="A213" t="s">
        <v>440</v>
      </c>
      <c r="B213" s="2" t="s">
        <v>441</v>
      </c>
      <c r="C213" t="s">
        <v>55</v>
      </c>
      <c r="D213" t="s">
        <v>19</v>
      </c>
      <c r="E213" t="s">
        <v>73</v>
      </c>
      <c r="F213" t="s">
        <v>74</v>
      </c>
      <c r="G213" t="s">
        <v>22</v>
      </c>
      <c r="H213" t="s">
        <v>60</v>
      </c>
      <c r="I213" t="s">
        <v>60</v>
      </c>
      <c r="J213" t="s">
        <v>52</v>
      </c>
      <c r="K213" s="3">
        <v>13</v>
      </c>
      <c r="L213" s="3">
        <v>58.03</v>
      </c>
      <c r="M213" s="3">
        <v>754.39</v>
      </c>
      <c r="N213" s="3">
        <v>388.68</v>
      </c>
      <c r="O213" s="3">
        <v>365.71</v>
      </c>
      <c r="P213" s="3">
        <v>812.52</v>
      </c>
    </row>
    <row r="214" spans="1:16">
      <c r="A214" t="s">
        <v>442</v>
      </c>
      <c r="B214" s="2" t="s">
        <v>443</v>
      </c>
      <c r="C214" t="s">
        <v>114</v>
      </c>
      <c r="D214" t="s">
        <v>33</v>
      </c>
      <c r="E214" t="s">
        <v>64</v>
      </c>
      <c r="F214" t="s">
        <v>65</v>
      </c>
      <c r="G214" t="s">
        <v>22</v>
      </c>
      <c r="H214" t="s">
        <v>36</v>
      </c>
      <c r="I214" t="s">
        <v>36</v>
      </c>
      <c r="J214" t="s">
        <v>29</v>
      </c>
      <c r="K214" s="3">
        <v>11</v>
      </c>
      <c r="L214" s="3">
        <v>99.97</v>
      </c>
      <c r="M214" s="3">
        <v>1099.67</v>
      </c>
      <c r="N214" s="3">
        <v>687.35</v>
      </c>
      <c r="O214" s="3">
        <v>412.32</v>
      </c>
      <c r="P214" s="3">
        <v>1077.4000000000001</v>
      </c>
    </row>
    <row r="215" spans="1:16">
      <c r="A215" t="s">
        <v>444</v>
      </c>
      <c r="B215" s="2" t="s">
        <v>445</v>
      </c>
      <c r="C215" t="s">
        <v>108</v>
      </c>
      <c r="D215" t="s">
        <v>40</v>
      </c>
      <c r="E215" t="s">
        <v>73</v>
      </c>
      <c r="F215" t="s">
        <v>137</v>
      </c>
      <c r="G215" t="s">
        <v>22</v>
      </c>
      <c r="H215" t="s">
        <v>60</v>
      </c>
      <c r="I215" t="s">
        <v>60</v>
      </c>
      <c r="J215" t="s">
        <v>84</v>
      </c>
      <c r="K215" s="3">
        <v>19</v>
      </c>
      <c r="L215" s="3">
        <v>55.59</v>
      </c>
      <c r="M215" s="3">
        <v>1056.21</v>
      </c>
      <c r="N215" s="3">
        <v>574.51</v>
      </c>
      <c r="O215" s="3">
        <v>481.7</v>
      </c>
      <c r="P215" s="3">
        <v>1052.1500000000001</v>
      </c>
    </row>
    <row r="216" spans="1:16">
      <c r="A216" t="s">
        <v>446</v>
      </c>
      <c r="B216" s="2" t="s">
        <v>447</v>
      </c>
      <c r="C216" t="s">
        <v>32</v>
      </c>
      <c r="D216" t="s">
        <v>33</v>
      </c>
      <c r="E216" t="s">
        <v>73</v>
      </c>
      <c r="F216" t="s">
        <v>74</v>
      </c>
      <c r="G216" t="s">
        <v>46</v>
      </c>
      <c r="H216" t="s">
        <v>47</v>
      </c>
      <c r="I216" t="s">
        <v>47</v>
      </c>
      <c r="J216" t="s">
        <v>89</v>
      </c>
      <c r="K216" s="3">
        <v>11</v>
      </c>
      <c r="L216" s="3">
        <v>309.95999999999998</v>
      </c>
      <c r="M216" s="3">
        <v>3409.56</v>
      </c>
      <c r="N216" s="3">
        <v>2039.28</v>
      </c>
      <c r="O216" s="3">
        <v>1370.28</v>
      </c>
      <c r="P216" s="3">
        <v>3878.57</v>
      </c>
    </row>
    <row r="217" spans="1:16">
      <c r="A217" t="s">
        <v>448</v>
      </c>
      <c r="B217" s="2" t="s">
        <v>406</v>
      </c>
      <c r="C217" t="s">
        <v>155</v>
      </c>
      <c r="D217" t="s">
        <v>82</v>
      </c>
      <c r="E217" t="s">
        <v>34</v>
      </c>
      <c r="F217" t="s">
        <v>123</v>
      </c>
      <c r="G217" t="s">
        <v>22</v>
      </c>
      <c r="H217" t="s">
        <v>36</v>
      </c>
      <c r="I217" t="s">
        <v>36</v>
      </c>
      <c r="J217" t="s">
        <v>70</v>
      </c>
      <c r="K217" s="3">
        <v>18</v>
      </c>
      <c r="L217" s="3">
        <v>89</v>
      </c>
      <c r="M217" s="3">
        <v>1602</v>
      </c>
      <c r="N217" s="3">
        <v>1132.95</v>
      </c>
      <c r="O217" s="3">
        <v>469.05</v>
      </c>
      <c r="P217" s="3">
        <v>1898.42</v>
      </c>
    </row>
    <row r="218" spans="1:16">
      <c r="A218" t="s">
        <v>449</v>
      </c>
      <c r="B218" s="2" t="s">
        <v>157</v>
      </c>
      <c r="C218" t="s">
        <v>39</v>
      </c>
      <c r="D218" t="s">
        <v>40</v>
      </c>
      <c r="E218" t="s">
        <v>20</v>
      </c>
      <c r="F218" t="s">
        <v>28</v>
      </c>
      <c r="G218" t="s">
        <v>41</v>
      </c>
      <c r="H218" t="s">
        <v>69</v>
      </c>
      <c r="I218" t="s">
        <v>69</v>
      </c>
      <c r="J218" t="s">
        <v>57</v>
      </c>
      <c r="K218" s="3">
        <v>8</v>
      </c>
      <c r="L218" s="3">
        <v>12.82</v>
      </c>
      <c r="M218" s="3">
        <v>102.56</v>
      </c>
      <c r="N218" s="3">
        <v>30.62</v>
      </c>
      <c r="O218" s="3">
        <v>71.94</v>
      </c>
      <c r="P218" s="3">
        <v>92.6</v>
      </c>
    </row>
    <row r="219" spans="1:16">
      <c r="A219" t="s">
        <v>450</v>
      </c>
      <c r="B219" s="2" t="s">
        <v>94</v>
      </c>
      <c r="C219" t="s">
        <v>81</v>
      </c>
      <c r="D219" t="s">
        <v>82</v>
      </c>
      <c r="E219" t="s">
        <v>34</v>
      </c>
      <c r="F219" t="s">
        <v>35</v>
      </c>
      <c r="G219" t="s">
        <v>46</v>
      </c>
      <c r="H219" t="s">
        <v>66</v>
      </c>
      <c r="I219" t="s">
        <v>66</v>
      </c>
      <c r="J219" t="s">
        <v>70</v>
      </c>
      <c r="K219" s="3">
        <v>1</v>
      </c>
      <c r="L219" s="3">
        <v>268.27999999999997</v>
      </c>
      <c r="M219" s="3">
        <v>268.27999999999997</v>
      </c>
      <c r="N219" s="3">
        <v>152.11000000000001</v>
      </c>
      <c r="O219" s="3">
        <v>116.17</v>
      </c>
      <c r="P219" s="3">
        <v>279.83999999999997</v>
      </c>
    </row>
    <row r="220" spans="1:16">
      <c r="A220" t="s">
        <v>451</v>
      </c>
      <c r="B220" s="2" t="s">
        <v>116</v>
      </c>
      <c r="C220" t="s">
        <v>108</v>
      </c>
      <c r="D220" t="s">
        <v>40</v>
      </c>
      <c r="E220" t="s">
        <v>34</v>
      </c>
      <c r="F220" t="s">
        <v>45</v>
      </c>
      <c r="G220" t="s">
        <v>22</v>
      </c>
      <c r="H220" t="s">
        <v>36</v>
      </c>
      <c r="I220" t="s">
        <v>36</v>
      </c>
      <c r="J220" t="s">
        <v>84</v>
      </c>
      <c r="K220" s="3">
        <v>6</v>
      </c>
      <c r="L220" s="3">
        <v>100.82</v>
      </c>
      <c r="M220" s="3">
        <v>604.91999999999996</v>
      </c>
      <c r="N220" s="3">
        <v>345.85</v>
      </c>
      <c r="O220" s="3">
        <v>259.07</v>
      </c>
      <c r="P220" s="3">
        <v>534.57000000000005</v>
      </c>
    </row>
    <row r="221" spans="1:16">
      <c r="A221" t="s">
        <v>452</v>
      </c>
      <c r="B221" s="2" t="s">
        <v>453</v>
      </c>
      <c r="C221" t="s">
        <v>32</v>
      </c>
      <c r="D221" t="s">
        <v>33</v>
      </c>
      <c r="E221" t="s">
        <v>34</v>
      </c>
      <c r="F221" t="s">
        <v>45</v>
      </c>
      <c r="G221" t="s">
        <v>41</v>
      </c>
      <c r="H221" t="s">
        <v>51</v>
      </c>
      <c r="I221" t="s">
        <v>51</v>
      </c>
      <c r="J221" t="s">
        <v>57</v>
      </c>
      <c r="K221" s="3">
        <v>13</v>
      </c>
      <c r="L221" s="3">
        <v>20.149999999999999</v>
      </c>
      <c r="M221" s="3">
        <v>261.95</v>
      </c>
      <c r="N221" s="3">
        <v>129.47</v>
      </c>
      <c r="O221" s="3">
        <v>132.47999999999999</v>
      </c>
      <c r="P221" s="3">
        <v>244.96</v>
      </c>
    </row>
    <row r="222" spans="1:16">
      <c r="A222" t="s">
        <v>454</v>
      </c>
      <c r="B222" s="2" t="s">
        <v>247</v>
      </c>
      <c r="C222" t="s">
        <v>114</v>
      </c>
      <c r="D222" t="s">
        <v>33</v>
      </c>
      <c r="E222" t="s">
        <v>20</v>
      </c>
      <c r="F222" t="s">
        <v>28</v>
      </c>
      <c r="G222" t="s">
        <v>22</v>
      </c>
      <c r="H222" t="s">
        <v>36</v>
      </c>
      <c r="I222" t="s">
        <v>36</v>
      </c>
      <c r="J222" t="s">
        <v>84</v>
      </c>
      <c r="K222" s="3">
        <v>18</v>
      </c>
      <c r="L222" s="3">
        <v>92.71</v>
      </c>
      <c r="M222" s="3">
        <v>1668.78</v>
      </c>
      <c r="N222" s="3">
        <v>1077.4100000000001</v>
      </c>
      <c r="O222" s="3">
        <v>591.37</v>
      </c>
      <c r="P222" s="3">
        <v>1790.37</v>
      </c>
    </row>
    <row r="223" spans="1:16">
      <c r="A223" t="s">
        <v>455</v>
      </c>
      <c r="B223" s="2" t="s">
        <v>238</v>
      </c>
      <c r="C223" t="s">
        <v>39</v>
      </c>
      <c r="D223" t="s">
        <v>40</v>
      </c>
      <c r="E223" t="s">
        <v>64</v>
      </c>
      <c r="F223" t="s">
        <v>145</v>
      </c>
      <c r="G223" t="s">
        <v>46</v>
      </c>
      <c r="H223" t="s">
        <v>75</v>
      </c>
      <c r="I223" t="s">
        <v>75</v>
      </c>
      <c r="J223" t="s">
        <v>89</v>
      </c>
      <c r="K223" s="3">
        <v>2</v>
      </c>
      <c r="L223" s="3">
        <v>453.16</v>
      </c>
      <c r="M223" s="3">
        <v>906.32</v>
      </c>
      <c r="N223" s="3">
        <v>544.87</v>
      </c>
      <c r="O223" s="3">
        <v>361.45</v>
      </c>
      <c r="P223" s="3">
        <v>1056.27</v>
      </c>
    </row>
    <row r="224" spans="1:16">
      <c r="A224" t="s">
        <v>456</v>
      </c>
      <c r="B224" s="2" t="s">
        <v>149</v>
      </c>
      <c r="C224" t="s">
        <v>114</v>
      </c>
      <c r="D224" t="s">
        <v>33</v>
      </c>
      <c r="E224" t="s">
        <v>20</v>
      </c>
      <c r="F224" t="s">
        <v>21</v>
      </c>
      <c r="G224" t="s">
        <v>46</v>
      </c>
      <c r="H224" t="s">
        <v>75</v>
      </c>
      <c r="I224" t="s">
        <v>75</v>
      </c>
      <c r="J224" t="s">
        <v>84</v>
      </c>
      <c r="K224" s="3">
        <v>11</v>
      </c>
      <c r="L224" s="3">
        <v>393.07</v>
      </c>
      <c r="M224" s="3">
        <v>4323.7700000000004</v>
      </c>
      <c r="N224" s="3">
        <v>2930.82</v>
      </c>
      <c r="O224" s="3">
        <v>1392.95</v>
      </c>
      <c r="P224" s="3">
        <v>3988.7</v>
      </c>
    </row>
    <row r="225" spans="1:16">
      <c r="A225" t="s">
        <v>457</v>
      </c>
      <c r="B225" s="2" t="s">
        <v>458</v>
      </c>
      <c r="C225" t="s">
        <v>55</v>
      </c>
      <c r="D225" t="s">
        <v>19</v>
      </c>
      <c r="E225" t="s">
        <v>64</v>
      </c>
      <c r="F225" t="s">
        <v>103</v>
      </c>
      <c r="G225" t="s">
        <v>41</v>
      </c>
      <c r="H225" t="s">
        <v>69</v>
      </c>
      <c r="I225" t="s">
        <v>69</v>
      </c>
      <c r="J225" t="s">
        <v>61</v>
      </c>
      <c r="K225" s="3">
        <v>19</v>
      </c>
      <c r="L225" s="3">
        <v>12.15</v>
      </c>
      <c r="M225" s="3">
        <v>230.85</v>
      </c>
      <c r="N225" s="3">
        <v>78.540000000000006</v>
      </c>
      <c r="O225" s="3">
        <v>152.31</v>
      </c>
      <c r="P225" s="3">
        <v>227.67</v>
      </c>
    </row>
    <row r="226" spans="1:16">
      <c r="A226" t="s">
        <v>459</v>
      </c>
      <c r="B226" s="2" t="s">
        <v>460</v>
      </c>
      <c r="C226" t="s">
        <v>102</v>
      </c>
      <c r="D226" t="s">
        <v>82</v>
      </c>
      <c r="E226" t="s">
        <v>73</v>
      </c>
      <c r="F226" t="s">
        <v>83</v>
      </c>
      <c r="G226" t="s">
        <v>46</v>
      </c>
      <c r="H226" t="s">
        <v>78</v>
      </c>
      <c r="I226" t="s">
        <v>78</v>
      </c>
      <c r="J226" t="s">
        <v>29</v>
      </c>
      <c r="K226" s="3">
        <v>14</v>
      </c>
      <c r="L226" s="3">
        <v>177.59</v>
      </c>
      <c r="M226" s="3">
        <v>2486.2600000000002</v>
      </c>
      <c r="N226" s="3">
        <v>1635</v>
      </c>
      <c r="O226" s="3">
        <v>851.26</v>
      </c>
      <c r="P226" s="3">
        <v>2179.4699999999998</v>
      </c>
    </row>
    <row r="227" spans="1:16">
      <c r="A227" t="s">
        <v>461</v>
      </c>
      <c r="B227" s="2" t="s">
        <v>462</v>
      </c>
      <c r="C227" t="s">
        <v>142</v>
      </c>
      <c r="D227" t="s">
        <v>33</v>
      </c>
      <c r="E227" t="s">
        <v>34</v>
      </c>
      <c r="F227" t="s">
        <v>92</v>
      </c>
      <c r="G227" t="s">
        <v>41</v>
      </c>
      <c r="H227" t="s">
        <v>69</v>
      </c>
      <c r="I227" t="s">
        <v>69</v>
      </c>
      <c r="J227" t="s">
        <v>29</v>
      </c>
      <c r="K227" s="3">
        <v>13</v>
      </c>
      <c r="L227" s="3">
        <v>11.65</v>
      </c>
      <c r="M227" s="3">
        <v>151.44999999999999</v>
      </c>
      <c r="N227" s="3">
        <v>51.65</v>
      </c>
      <c r="O227" s="3">
        <v>99.8</v>
      </c>
      <c r="P227" s="3">
        <v>164.76</v>
      </c>
    </row>
    <row r="228" spans="1:16">
      <c r="A228" t="s">
        <v>463</v>
      </c>
      <c r="B228" s="2" t="s">
        <v>241</v>
      </c>
      <c r="C228" t="s">
        <v>39</v>
      </c>
      <c r="D228" t="s">
        <v>40</v>
      </c>
      <c r="E228" t="s">
        <v>34</v>
      </c>
      <c r="F228" t="s">
        <v>123</v>
      </c>
      <c r="G228" t="s">
        <v>46</v>
      </c>
      <c r="H228" t="s">
        <v>75</v>
      </c>
      <c r="I228" t="s">
        <v>75</v>
      </c>
      <c r="J228" t="s">
        <v>84</v>
      </c>
      <c r="K228" s="3">
        <v>5</v>
      </c>
      <c r="L228" s="3">
        <v>384.89</v>
      </c>
      <c r="M228" s="3">
        <v>1924.45</v>
      </c>
      <c r="N228" s="3">
        <v>1383.2</v>
      </c>
      <c r="O228" s="3">
        <v>541.25</v>
      </c>
      <c r="P228" s="3">
        <v>2163.7800000000002</v>
      </c>
    </row>
    <row r="229" spans="1:16">
      <c r="A229" t="s">
        <v>464</v>
      </c>
      <c r="B229" s="2" t="s">
        <v>465</v>
      </c>
      <c r="C229" t="s">
        <v>55</v>
      </c>
      <c r="D229" t="s">
        <v>19</v>
      </c>
      <c r="E229" t="s">
        <v>34</v>
      </c>
      <c r="F229" t="s">
        <v>45</v>
      </c>
      <c r="G229" t="s">
        <v>22</v>
      </c>
      <c r="H229" t="s">
        <v>95</v>
      </c>
      <c r="I229" t="s">
        <v>95</v>
      </c>
      <c r="J229" t="s">
        <v>24</v>
      </c>
      <c r="K229" s="3">
        <v>10</v>
      </c>
      <c r="L229" s="3">
        <v>585.67999999999995</v>
      </c>
      <c r="M229" s="3">
        <v>5856.8</v>
      </c>
      <c r="N229" s="3">
        <v>5171.26</v>
      </c>
      <c r="O229" s="3">
        <v>685.54</v>
      </c>
      <c r="P229" s="3">
        <v>6538.95</v>
      </c>
    </row>
    <row r="230" spans="1:16">
      <c r="A230" t="s">
        <v>466</v>
      </c>
      <c r="B230" s="2" t="s">
        <v>467</v>
      </c>
      <c r="C230" t="s">
        <v>111</v>
      </c>
      <c r="D230" t="s">
        <v>40</v>
      </c>
      <c r="E230" t="s">
        <v>73</v>
      </c>
      <c r="F230" t="s">
        <v>74</v>
      </c>
      <c r="G230" t="s">
        <v>41</v>
      </c>
      <c r="H230" t="s">
        <v>51</v>
      </c>
      <c r="I230" t="s">
        <v>51</v>
      </c>
      <c r="J230" t="s">
        <v>61</v>
      </c>
      <c r="K230" s="3">
        <v>3</v>
      </c>
      <c r="L230" s="3">
        <v>20.25</v>
      </c>
      <c r="M230" s="3">
        <v>60.75</v>
      </c>
      <c r="N230" s="3">
        <v>29.56</v>
      </c>
      <c r="O230" s="3">
        <v>31.19</v>
      </c>
      <c r="P230" s="3">
        <v>53.62</v>
      </c>
    </row>
    <row r="231" spans="1:16">
      <c r="A231" t="s">
        <v>468</v>
      </c>
      <c r="B231" s="2" t="s">
        <v>469</v>
      </c>
      <c r="C231" t="s">
        <v>102</v>
      </c>
      <c r="D231" t="s">
        <v>82</v>
      </c>
      <c r="E231" t="s">
        <v>34</v>
      </c>
      <c r="F231" t="s">
        <v>92</v>
      </c>
      <c r="G231" t="s">
        <v>41</v>
      </c>
      <c r="H231" t="s">
        <v>86</v>
      </c>
      <c r="I231" t="s">
        <v>86</v>
      </c>
      <c r="J231" t="s">
        <v>84</v>
      </c>
      <c r="K231" s="3">
        <v>18</v>
      </c>
      <c r="L231" s="3">
        <v>18.809999999999999</v>
      </c>
      <c r="M231" s="3">
        <v>338.58</v>
      </c>
      <c r="N231" s="3">
        <v>149.83000000000001</v>
      </c>
      <c r="O231" s="3">
        <v>188.75</v>
      </c>
      <c r="P231" s="3">
        <v>403.71</v>
      </c>
    </row>
    <row r="232" spans="1:16">
      <c r="A232" t="s">
        <v>470</v>
      </c>
      <c r="B232" s="2" t="s">
        <v>471</v>
      </c>
      <c r="C232" t="s">
        <v>18</v>
      </c>
      <c r="D232" t="s">
        <v>19</v>
      </c>
      <c r="E232" t="s">
        <v>73</v>
      </c>
      <c r="F232" t="s">
        <v>137</v>
      </c>
      <c r="G232" t="s">
        <v>41</v>
      </c>
      <c r="H232" t="s">
        <v>42</v>
      </c>
      <c r="I232" t="s">
        <v>42</v>
      </c>
      <c r="J232" t="s">
        <v>29</v>
      </c>
      <c r="K232" s="3">
        <v>5</v>
      </c>
      <c r="L232" s="3">
        <v>8.58</v>
      </c>
      <c r="M232" s="3">
        <v>42.9</v>
      </c>
      <c r="N232" s="3">
        <v>14.34</v>
      </c>
      <c r="O232" s="3">
        <v>28.56</v>
      </c>
      <c r="P232" s="3">
        <v>42.99</v>
      </c>
    </row>
    <row r="233" spans="1:16">
      <c r="A233" t="s">
        <v>472</v>
      </c>
      <c r="B233" s="2" t="s">
        <v>381</v>
      </c>
      <c r="C233" t="s">
        <v>114</v>
      </c>
      <c r="D233" t="s">
        <v>33</v>
      </c>
      <c r="E233" t="s">
        <v>20</v>
      </c>
      <c r="F233" t="s">
        <v>21</v>
      </c>
      <c r="G233" t="s">
        <v>41</v>
      </c>
      <c r="H233" t="s">
        <v>69</v>
      </c>
      <c r="I233" t="s">
        <v>69</v>
      </c>
      <c r="J233" t="s">
        <v>24</v>
      </c>
      <c r="K233" s="3">
        <v>16</v>
      </c>
      <c r="L233" s="3">
        <v>12.53</v>
      </c>
      <c r="M233" s="3">
        <v>200.48</v>
      </c>
      <c r="N233" s="3">
        <v>64.599999999999994</v>
      </c>
      <c r="O233" s="3">
        <v>135.88</v>
      </c>
      <c r="P233" s="3">
        <v>184.13</v>
      </c>
    </row>
    <row r="234" spans="1:16">
      <c r="A234" t="s">
        <v>473</v>
      </c>
      <c r="B234" s="2" t="s">
        <v>474</v>
      </c>
      <c r="C234" t="s">
        <v>111</v>
      </c>
      <c r="D234" t="s">
        <v>40</v>
      </c>
      <c r="E234" t="s">
        <v>20</v>
      </c>
      <c r="F234" t="s">
        <v>50</v>
      </c>
      <c r="G234" t="s">
        <v>41</v>
      </c>
      <c r="H234" t="s">
        <v>51</v>
      </c>
      <c r="I234" t="s">
        <v>51</v>
      </c>
      <c r="J234" t="s">
        <v>84</v>
      </c>
      <c r="K234" s="3">
        <v>11</v>
      </c>
      <c r="L234" s="3">
        <v>23.34</v>
      </c>
      <c r="M234" s="3">
        <v>256.74</v>
      </c>
      <c r="N234" s="3">
        <v>109.34</v>
      </c>
      <c r="O234" s="3">
        <v>147.4</v>
      </c>
      <c r="P234" s="3">
        <v>256.92</v>
      </c>
    </row>
    <row r="235" spans="1:16">
      <c r="A235" t="s">
        <v>475</v>
      </c>
      <c r="B235" s="2" t="s">
        <v>414</v>
      </c>
      <c r="C235" t="s">
        <v>114</v>
      </c>
      <c r="D235" t="s">
        <v>33</v>
      </c>
      <c r="E235" t="s">
        <v>73</v>
      </c>
      <c r="F235" t="s">
        <v>74</v>
      </c>
      <c r="G235" t="s">
        <v>41</v>
      </c>
      <c r="H235" t="s">
        <v>69</v>
      </c>
      <c r="I235" t="s">
        <v>69</v>
      </c>
      <c r="J235" t="s">
        <v>89</v>
      </c>
      <c r="K235" s="3">
        <v>11</v>
      </c>
      <c r="L235" s="3">
        <v>13.11</v>
      </c>
      <c r="M235" s="3">
        <v>144.21</v>
      </c>
      <c r="N235" s="3">
        <v>43.08</v>
      </c>
      <c r="O235" s="3">
        <v>101.13</v>
      </c>
      <c r="P235" s="3">
        <v>157.66</v>
      </c>
    </row>
    <row r="236" spans="1:16">
      <c r="A236" t="s">
        <v>476</v>
      </c>
      <c r="B236" s="2" t="s">
        <v>125</v>
      </c>
      <c r="C236" t="s">
        <v>27</v>
      </c>
      <c r="D236" t="s">
        <v>19</v>
      </c>
      <c r="E236" t="s">
        <v>73</v>
      </c>
      <c r="F236" t="s">
        <v>128</v>
      </c>
      <c r="G236" t="s">
        <v>41</v>
      </c>
      <c r="H236" t="s">
        <v>42</v>
      </c>
      <c r="I236" t="s">
        <v>42</v>
      </c>
      <c r="J236" t="s">
        <v>57</v>
      </c>
      <c r="K236" s="3">
        <v>13</v>
      </c>
      <c r="L236" s="3">
        <v>9.57</v>
      </c>
      <c r="M236" s="3">
        <v>124.41</v>
      </c>
      <c r="N236" s="3">
        <v>38.47</v>
      </c>
      <c r="O236" s="3">
        <v>85.94</v>
      </c>
      <c r="P236" s="3">
        <v>146.33000000000001</v>
      </c>
    </row>
    <row r="237" spans="1:16">
      <c r="A237" t="s">
        <v>477</v>
      </c>
      <c r="B237" s="2" t="s">
        <v>478</v>
      </c>
      <c r="C237" t="s">
        <v>27</v>
      </c>
      <c r="D237" t="s">
        <v>19</v>
      </c>
      <c r="E237" t="s">
        <v>73</v>
      </c>
      <c r="F237" t="s">
        <v>83</v>
      </c>
      <c r="G237" t="s">
        <v>46</v>
      </c>
      <c r="H237" t="s">
        <v>66</v>
      </c>
      <c r="I237" t="s">
        <v>66</v>
      </c>
      <c r="J237" t="s">
        <v>24</v>
      </c>
      <c r="K237" s="3">
        <v>7</v>
      </c>
      <c r="L237" s="3">
        <v>283.02999999999997</v>
      </c>
      <c r="M237" s="3">
        <v>1981.21</v>
      </c>
      <c r="N237" s="3">
        <v>1113.1099999999999</v>
      </c>
      <c r="O237" s="3">
        <v>868.1</v>
      </c>
      <c r="P237" s="3">
        <v>1886.04</v>
      </c>
    </row>
    <row r="238" spans="1:16">
      <c r="A238" t="s">
        <v>479</v>
      </c>
      <c r="B238" s="2" t="s">
        <v>412</v>
      </c>
      <c r="C238" t="s">
        <v>102</v>
      </c>
      <c r="D238" t="s">
        <v>82</v>
      </c>
      <c r="E238" t="s">
        <v>64</v>
      </c>
      <c r="F238" t="s">
        <v>105</v>
      </c>
      <c r="G238" t="s">
        <v>46</v>
      </c>
      <c r="H238" t="s">
        <v>78</v>
      </c>
      <c r="I238" t="s">
        <v>78</v>
      </c>
      <c r="J238" t="s">
        <v>24</v>
      </c>
      <c r="K238" s="3">
        <v>5</v>
      </c>
      <c r="L238" s="3">
        <v>184.94</v>
      </c>
      <c r="M238" s="3">
        <v>924.7</v>
      </c>
      <c r="N238" s="3">
        <v>612.91</v>
      </c>
      <c r="O238" s="3">
        <v>311.79000000000002</v>
      </c>
      <c r="P238" s="3">
        <v>1041.3800000000001</v>
      </c>
    </row>
    <row r="239" spans="1:16">
      <c r="A239" t="s">
        <v>480</v>
      </c>
      <c r="B239" s="2" t="s">
        <v>163</v>
      </c>
      <c r="C239" t="s">
        <v>155</v>
      </c>
      <c r="D239" t="s">
        <v>82</v>
      </c>
      <c r="E239" t="s">
        <v>64</v>
      </c>
      <c r="F239" t="s">
        <v>65</v>
      </c>
      <c r="G239" t="s">
        <v>46</v>
      </c>
      <c r="H239" t="s">
        <v>66</v>
      </c>
      <c r="I239" t="s">
        <v>66</v>
      </c>
      <c r="J239" t="s">
        <v>24</v>
      </c>
      <c r="K239" s="3">
        <v>12</v>
      </c>
      <c r="L239" s="3">
        <v>262.27</v>
      </c>
      <c r="M239" s="3">
        <v>3147.24</v>
      </c>
      <c r="N239" s="3">
        <v>1958.71</v>
      </c>
      <c r="O239" s="3">
        <v>1188.53</v>
      </c>
      <c r="P239" s="3">
        <v>3569.93</v>
      </c>
    </row>
    <row r="240" spans="1:16">
      <c r="A240" t="s">
        <v>481</v>
      </c>
      <c r="B240" s="2" t="s">
        <v>241</v>
      </c>
      <c r="C240" t="s">
        <v>39</v>
      </c>
      <c r="D240" t="s">
        <v>40</v>
      </c>
      <c r="E240" t="s">
        <v>73</v>
      </c>
      <c r="F240" t="s">
        <v>128</v>
      </c>
      <c r="G240" t="s">
        <v>22</v>
      </c>
      <c r="H240" t="s">
        <v>95</v>
      </c>
      <c r="I240" t="s">
        <v>95</v>
      </c>
      <c r="J240" t="s">
        <v>29</v>
      </c>
      <c r="K240" s="3">
        <v>13</v>
      </c>
      <c r="L240" s="3">
        <v>658.22</v>
      </c>
      <c r="M240" s="3">
        <v>8556.86</v>
      </c>
      <c r="N240" s="3">
        <v>7075.56</v>
      </c>
      <c r="O240" s="3">
        <v>1481.3</v>
      </c>
      <c r="P240" s="3">
        <v>8266.43</v>
      </c>
    </row>
    <row r="241" spans="1:16">
      <c r="A241" t="s">
        <v>482</v>
      </c>
      <c r="B241" s="2" t="s">
        <v>483</v>
      </c>
      <c r="C241" t="s">
        <v>39</v>
      </c>
      <c r="D241" t="s">
        <v>40</v>
      </c>
      <c r="E241" t="s">
        <v>20</v>
      </c>
      <c r="F241" t="s">
        <v>21</v>
      </c>
      <c r="G241" t="s">
        <v>22</v>
      </c>
      <c r="H241" t="s">
        <v>23</v>
      </c>
      <c r="I241" t="s">
        <v>23</v>
      </c>
      <c r="J241" t="s">
        <v>84</v>
      </c>
      <c r="K241" s="3">
        <v>13</v>
      </c>
      <c r="L241" s="3">
        <v>276.95999999999998</v>
      </c>
      <c r="M241" s="3">
        <v>3600.48</v>
      </c>
      <c r="N241" s="3">
        <v>2590.4</v>
      </c>
      <c r="O241" s="3">
        <v>1010.08</v>
      </c>
      <c r="P241" s="3">
        <v>3916.76</v>
      </c>
    </row>
    <row r="242" spans="1:16">
      <c r="A242" t="s">
        <v>484</v>
      </c>
      <c r="B242" s="2" t="s">
        <v>462</v>
      </c>
      <c r="C242" t="s">
        <v>142</v>
      </c>
      <c r="D242" t="s">
        <v>33</v>
      </c>
      <c r="E242" t="s">
        <v>64</v>
      </c>
      <c r="F242" t="s">
        <v>103</v>
      </c>
      <c r="G242" t="s">
        <v>41</v>
      </c>
      <c r="H242" t="s">
        <v>51</v>
      </c>
      <c r="I242" t="s">
        <v>51</v>
      </c>
      <c r="J242" t="s">
        <v>84</v>
      </c>
      <c r="K242" s="3">
        <v>3</v>
      </c>
      <c r="L242" s="3">
        <v>23.85</v>
      </c>
      <c r="M242" s="3">
        <v>71.55</v>
      </c>
      <c r="N242" s="3">
        <v>28.85</v>
      </c>
      <c r="O242" s="3">
        <v>42.7</v>
      </c>
      <c r="P242" s="3">
        <v>84.37</v>
      </c>
    </row>
    <row r="243" spans="1:16">
      <c r="A243" t="s">
        <v>485</v>
      </c>
      <c r="B243" s="2" t="s">
        <v>141</v>
      </c>
      <c r="C243" t="s">
        <v>142</v>
      </c>
      <c r="D243" t="s">
        <v>33</v>
      </c>
      <c r="E243" t="s">
        <v>34</v>
      </c>
      <c r="F243" t="s">
        <v>92</v>
      </c>
      <c r="G243" t="s">
        <v>22</v>
      </c>
      <c r="H243" t="s">
        <v>36</v>
      </c>
      <c r="I243" t="s">
        <v>36</v>
      </c>
      <c r="J243" t="s">
        <v>61</v>
      </c>
      <c r="K243" s="3">
        <v>4</v>
      </c>
      <c r="L243" s="3">
        <v>92.12</v>
      </c>
      <c r="M243" s="3">
        <v>368.48</v>
      </c>
      <c r="N243" s="3">
        <v>238.52</v>
      </c>
      <c r="O243" s="3">
        <v>129.96</v>
      </c>
      <c r="P243" s="3">
        <v>403.07</v>
      </c>
    </row>
    <row r="244" spans="1:16">
      <c r="A244" t="s">
        <v>486</v>
      </c>
      <c r="B244" s="2" t="s">
        <v>487</v>
      </c>
      <c r="C244" t="s">
        <v>39</v>
      </c>
      <c r="D244" t="s">
        <v>40</v>
      </c>
      <c r="E244" t="s">
        <v>20</v>
      </c>
      <c r="F244" t="s">
        <v>28</v>
      </c>
      <c r="G244" t="s">
        <v>22</v>
      </c>
      <c r="H244" t="s">
        <v>60</v>
      </c>
      <c r="I244" t="s">
        <v>60</v>
      </c>
      <c r="J244" t="s">
        <v>84</v>
      </c>
      <c r="K244" s="3">
        <v>6</v>
      </c>
      <c r="L244" s="3">
        <v>56.63</v>
      </c>
      <c r="M244" s="3">
        <v>339.78</v>
      </c>
      <c r="N244" s="3">
        <v>187.74</v>
      </c>
      <c r="O244" s="3">
        <v>152.04</v>
      </c>
      <c r="P244" s="3">
        <v>376.87</v>
      </c>
    </row>
    <row r="245" spans="1:16">
      <c r="A245" t="s">
        <v>488</v>
      </c>
      <c r="B245" s="2" t="s">
        <v>91</v>
      </c>
      <c r="C245" t="s">
        <v>81</v>
      </c>
      <c r="D245" t="s">
        <v>82</v>
      </c>
      <c r="E245" t="s">
        <v>34</v>
      </c>
      <c r="F245" t="s">
        <v>92</v>
      </c>
      <c r="G245" t="s">
        <v>41</v>
      </c>
      <c r="H245" t="s">
        <v>69</v>
      </c>
      <c r="I245" t="s">
        <v>69</v>
      </c>
      <c r="J245" t="s">
        <v>29</v>
      </c>
      <c r="K245" s="3">
        <v>6</v>
      </c>
      <c r="L245" s="3">
        <v>12.71</v>
      </c>
      <c r="M245" s="3">
        <v>76.260000000000005</v>
      </c>
      <c r="N245" s="3">
        <v>23.25</v>
      </c>
      <c r="O245" s="3">
        <v>53.01</v>
      </c>
      <c r="P245" s="3">
        <v>82.37</v>
      </c>
    </row>
    <row r="246" spans="1:16">
      <c r="A246" t="s">
        <v>489</v>
      </c>
      <c r="B246" s="2" t="s">
        <v>355</v>
      </c>
      <c r="C246" t="s">
        <v>108</v>
      </c>
      <c r="D246" t="s">
        <v>40</v>
      </c>
      <c r="E246" t="s">
        <v>73</v>
      </c>
      <c r="F246" t="s">
        <v>74</v>
      </c>
      <c r="G246" t="s">
        <v>46</v>
      </c>
      <c r="H246" t="s">
        <v>66</v>
      </c>
      <c r="I246" t="s">
        <v>66</v>
      </c>
      <c r="J246" t="s">
        <v>24</v>
      </c>
      <c r="K246" s="3">
        <v>7</v>
      </c>
      <c r="L246" s="3">
        <v>254.22</v>
      </c>
      <c r="M246" s="3">
        <v>1779.54</v>
      </c>
      <c r="N246" s="3">
        <v>1087.05</v>
      </c>
      <c r="O246" s="3">
        <v>692.49</v>
      </c>
      <c r="P246" s="3">
        <v>1981.19</v>
      </c>
    </row>
    <row r="247" spans="1:16">
      <c r="A247" t="s">
        <v>490</v>
      </c>
      <c r="B247" s="2" t="s">
        <v>491</v>
      </c>
      <c r="C247" t="s">
        <v>27</v>
      </c>
      <c r="D247" t="s">
        <v>19</v>
      </c>
      <c r="E247" t="s">
        <v>73</v>
      </c>
      <c r="F247" t="s">
        <v>128</v>
      </c>
      <c r="G247" t="s">
        <v>41</v>
      </c>
      <c r="H247" t="s">
        <v>69</v>
      </c>
      <c r="I247" t="s">
        <v>69</v>
      </c>
      <c r="J247" t="s">
        <v>61</v>
      </c>
      <c r="K247" s="3">
        <v>9</v>
      </c>
      <c r="L247" s="3">
        <v>11.9</v>
      </c>
      <c r="M247" s="3">
        <v>107.1</v>
      </c>
      <c r="N247" s="3">
        <v>36.61</v>
      </c>
      <c r="O247" s="3">
        <v>70.489999999999995</v>
      </c>
      <c r="P247" s="3">
        <v>109.38</v>
      </c>
    </row>
    <row r="248" spans="1:16">
      <c r="A248" t="s">
        <v>492</v>
      </c>
      <c r="B248" s="2" t="s">
        <v>234</v>
      </c>
      <c r="C248" t="s">
        <v>27</v>
      </c>
      <c r="D248" t="s">
        <v>19</v>
      </c>
      <c r="E248" t="s">
        <v>64</v>
      </c>
      <c r="F248" t="s">
        <v>103</v>
      </c>
      <c r="G248" t="s">
        <v>41</v>
      </c>
      <c r="H248" t="s">
        <v>42</v>
      </c>
      <c r="I248" t="s">
        <v>42</v>
      </c>
      <c r="J248" t="s">
        <v>52</v>
      </c>
      <c r="K248" s="3">
        <v>20</v>
      </c>
      <c r="L248" s="3">
        <v>9.6199999999999992</v>
      </c>
      <c r="M248" s="3">
        <v>192.4</v>
      </c>
      <c r="N248" s="3">
        <v>58.04</v>
      </c>
      <c r="O248" s="3">
        <v>134.36000000000001</v>
      </c>
      <c r="P248" s="3">
        <v>208.9</v>
      </c>
    </row>
    <row r="249" spans="1:16">
      <c r="A249" t="s">
        <v>493</v>
      </c>
      <c r="B249" s="2" t="s">
        <v>370</v>
      </c>
      <c r="C249" t="s">
        <v>27</v>
      </c>
      <c r="D249" t="s">
        <v>19</v>
      </c>
      <c r="E249" t="s">
        <v>20</v>
      </c>
      <c r="F249" t="s">
        <v>56</v>
      </c>
      <c r="G249" t="s">
        <v>41</v>
      </c>
      <c r="H249" t="s">
        <v>86</v>
      </c>
      <c r="I249" t="s">
        <v>86</v>
      </c>
      <c r="J249" t="s">
        <v>29</v>
      </c>
      <c r="K249" s="3">
        <v>4</v>
      </c>
      <c r="L249" s="3">
        <v>17.059999999999999</v>
      </c>
      <c r="M249" s="3">
        <v>68.239999999999995</v>
      </c>
      <c r="N249" s="3">
        <v>30.99</v>
      </c>
      <c r="O249" s="3">
        <v>37.25</v>
      </c>
      <c r="P249" s="3">
        <v>74.569999999999993</v>
      </c>
    </row>
    <row r="250" spans="1:16">
      <c r="A250" t="s">
        <v>494</v>
      </c>
      <c r="B250" s="2" t="s">
        <v>278</v>
      </c>
      <c r="C250" t="s">
        <v>102</v>
      </c>
      <c r="D250" t="s">
        <v>82</v>
      </c>
      <c r="E250" t="s">
        <v>73</v>
      </c>
      <c r="F250" t="s">
        <v>74</v>
      </c>
      <c r="G250" t="s">
        <v>41</v>
      </c>
      <c r="H250" t="s">
        <v>69</v>
      </c>
      <c r="I250" t="s">
        <v>69</v>
      </c>
      <c r="J250" t="s">
        <v>84</v>
      </c>
      <c r="K250" s="3">
        <v>18</v>
      </c>
      <c r="L250" s="3">
        <v>11.97</v>
      </c>
      <c r="M250" s="3">
        <v>215.46</v>
      </c>
      <c r="N250" s="3">
        <v>73.39</v>
      </c>
      <c r="O250" s="3">
        <v>142.07</v>
      </c>
      <c r="P250" s="3">
        <v>231.8</v>
      </c>
    </row>
    <row r="251" spans="1:16">
      <c r="A251" t="s">
        <v>495</v>
      </c>
      <c r="B251" s="2" t="s">
        <v>91</v>
      </c>
      <c r="C251" t="s">
        <v>81</v>
      </c>
      <c r="D251" t="s">
        <v>82</v>
      </c>
      <c r="E251" t="s">
        <v>64</v>
      </c>
      <c r="F251" t="s">
        <v>145</v>
      </c>
      <c r="G251" t="s">
        <v>22</v>
      </c>
      <c r="H251" t="s">
        <v>23</v>
      </c>
      <c r="I251" t="s">
        <v>23</v>
      </c>
      <c r="J251" t="s">
        <v>70</v>
      </c>
      <c r="K251" s="3">
        <v>15</v>
      </c>
      <c r="L251" s="3">
        <v>269.62</v>
      </c>
      <c r="M251" s="3">
        <v>4044.3</v>
      </c>
      <c r="N251" s="3">
        <v>3035.82</v>
      </c>
      <c r="O251" s="3">
        <v>1008.48</v>
      </c>
      <c r="P251" s="3">
        <v>4662.8100000000004</v>
      </c>
    </row>
    <row r="252" spans="1:16">
      <c r="A252" t="s">
        <v>496</v>
      </c>
      <c r="B252" s="2" t="s">
        <v>421</v>
      </c>
      <c r="C252" t="s">
        <v>155</v>
      </c>
      <c r="D252" t="s">
        <v>82</v>
      </c>
      <c r="E252" t="s">
        <v>73</v>
      </c>
      <c r="F252" t="s">
        <v>74</v>
      </c>
      <c r="G252" t="s">
        <v>46</v>
      </c>
      <c r="H252" t="s">
        <v>66</v>
      </c>
      <c r="I252" t="s">
        <v>66</v>
      </c>
      <c r="J252" t="s">
        <v>89</v>
      </c>
      <c r="K252" s="3">
        <v>16</v>
      </c>
      <c r="L252" s="3">
        <v>255.27</v>
      </c>
      <c r="M252" s="3">
        <v>4084.32</v>
      </c>
      <c r="N252" s="3">
        <v>2538.4</v>
      </c>
      <c r="O252" s="3">
        <v>1545.92</v>
      </c>
      <c r="P252" s="3">
        <v>4672.3100000000004</v>
      </c>
    </row>
    <row r="253" spans="1:16">
      <c r="A253" t="s">
        <v>497</v>
      </c>
      <c r="B253" s="2" t="s">
        <v>467</v>
      </c>
      <c r="C253" t="s">
        <v>111</v>
      </c>
      <c r="D253" t="s">
        <v>40</v>
      </c>
      <c r="E253" t="s">
        <v>20</v>
      </c>
      <c r="F253" t="s">
        <v>56</v>
      </c>
      <c r="G253" t="s">
        <v>41</v>
      </c>
      <c r="H253" t="s">
        <v>86</v>
      </c>
      <c r="I253" t="s">
        <v>86</v>
      </c>
      <c r="J253" t="s">
        <v>89</v>
      </c>
      <c r="K253" s="3">
        <v>18</v>
      </c>
      <c r="L253" s="3">
        <v>17.190000000000001</v>
      </c>
      <c r="M253" s="3">
        <v>309.42</v>
      </c>
      <c r="N253" s="3">
        <v>140.96</v>
      </c>
      <c r="O253" s="3">
        <v>168.46</v>
      </c>
      <c r="P253" s="3">
        <v>347.56</v>
      </c>
    </row>
    <row r="254" spans="1:16">
      <c r="A254" t="s">
        <v>498</v>
      </c>
      <c r="B254" s="2" t="s">
        <v>499</v>
      </c>
      <c r="C254" t="s">
        <v>81</v>
      </c>
      <c r="D254" t="s">
        <v>82</v>
      </c>
      <c r="E254" t="s">
        <v>20</v>
      </c>
      <c r="F254" t="s">
        <v>28</v>
      </c>
      <c r="G254" t="s">
        <v>41</v>
      </c>
      <c r="H254" t="s">
        <v>42</v>
      </c>
      <c r="I254" t="s">
        <v>42</v>
      </c>
      <c r="J254" t="s">
        <v>57</v>
      </c>
      <c r="K254" s="3">
        <v>2</v>
      </c>
      <c r="L254" s="3">
        <v>9.08</v>
      </c>
      <c r="M254" s="3">
        <v>18.16</v>
      </c>
      <c r="N254" s="3">
        <v>6.16</v>
      </c>
      <c r="O254" s="3">
        <v>12</v>
      </c>
      <c r="P254" s="3">
        <v>18.239999999999998</v>
      </c>
    </row>
    <row r="255" spans="1:16">
      <c r="A255" t="s">
        <v>500</v>
      </c>
      <c r="B255" s="2" t="s">
        <v>501</v>
      </c>
      <c r="C255" t="s">
        <v>102</v>
      </c>
      <c r="D255" t="s">
        <v>82</v>
      </c>
      <c r="E255" t="s">
        <v>73</v>
      </c>
      <c r="F255" t="s">
        <v>128</v>
      </c>
      <c r="G255" t="s">
        <v>22</v>
      </c>
      <c r="H255" t="s">
        <v>36</v>
      </c>
      <c r="I255" t="s">
        <v>36</v>
      </c>
      <c r="J255" t="s">
        <v>57</v>
      </c>
      <c r="K255" s="3">
        <v>3</v>
      </c>
      <c r="L255" s="3">
        <v>90.49</v>
      </c>
      <c r="M255" s="3">
        <v>271.47000000000003</v>
      </c>
      <c r="N255" s="3">
        <v>178.9</v>
      </c>
      <c r="O255" s="3">
        <v>92.57</v>
      </c>
      <c r="P255" s="3">
        <v>325.19</v>
      </c>
    </row>
    <row r="256" spans="1:16">
      <c r="A256" t="s">
        <v>502</v>
      </c>
      <c r="B256" s="2" t="s">
        <v>503</v>
      </c>
      <c r="C256" t="s">
        <v>32</v>
      </c>
      <c r="D256" t="s">
        <v>33</v>
      </c>
      <c r="E256" t="s">
        <v>34</v>
      </c>
      <c r="F256" t="s">
        <v>92</v>
      </c>
      <c r="G256" t="s">
        <v>22</v>
      </c>
      <c r="H256" t="s">
        <v>23</v>
      </c>
      <c r="I256" t="s">
        <v>23</v>
      </c>
      <c r="J256" t="s">
        <v>52</v>
      </c>
      <c r="K256" s="3">
        <v>7</v>
      </c>
      <c r="L256" s="3">
        <v>295.95</v>
      </c>
      <c r="M256" s="3">
        <v>2071.65</v>
      </c>
      <c r="N256" s="3">
        <v>1442.76</v>
      </c>
      <c r="O256" s="3">
        <v>628.89</v>
      </c>
      <c r="P256" s="3">
        <v>2174.25</v>
      </c>
    </row>
    <row r="257" spans="1:16">
      <c r="A257" t="s">
        <v>504</v>
      </c>
      <c r="B257" s="2" t="s">
        <v>478</v>
      </c>
      <c r="C257" t="s">
        <v>27</v>
      </c>
      <c r="D257" t="s">
        <v>19</v>
      </c>
      <c r="E257" t="s">
        <v>73</v>
      </c>
      <c r="F257" t="s">
        <v>128</v>
      </c>
      <c r="G257" t="s">
        <v>46</v>
      </c>
      <c r="H257" t="s">
        <v>78</v>
      </c>
      <c r="I257" t="s">
        <v>78</v>
      </c>
      <c r="J257" t="s">
        <v>24</v>
      </c>
      <c r="K257" s="3">
        <v>9</v>
      </c>
      <c r="L257" s="3">
        <v>186.78</v>
      </c>
      <c r="M257" s="3">
        <v>1681.02</v>
      </c>
      <c r="N257" s="3">
        <v>1128.8599999999999</v>
      </c>
      <c r="O257" s="3">
        <v>552.16</v>
      </c>
      <c r="P257" s="3">
        <v>1731.53</v>
      </c>
    </row>
    <row r="258" spans="1:16">
      <c r="A258" t="s">
        <v>505</v>
      </c>
      <c r="B258" s="2" t="s">
        <v>292</v>
      </c>
      <c r="C258" t="s">
        <v>111</v>
      </c>
      <c r="D258" t="s">
        <v>40</v>
      </c>
      <c r="E258" t="s">
        <v>64</v>
      </c>
      <c r="F258" t="s">
        <v>103</v>
      </c>
      <c r="G258" t="s">
        <v>41</v>
      </c>
      <c r="H258" t="s">
        <v>69</v>
      </c>
      <c r="I258" t="s">
        <v>69</v>
      </c>
      <c r="J258" t="s">
        <v>57</v>
      </c>
      <c r="K258" s="3">
        <v>5</v>
      </c>
      <c r="L258" s="3">
        <v>12.48</v>
      </c>
      <c r="M258" s="3">
        <v>62.4</v>
      </c>
      <c r="N258" s="3">
        <v>19.5</v>
      </c>
      <c r="O258" s="3">
        <v>42.9</v>
      </c>
      <c r="P258" s="3">
        <v>68.58</v>
      </c>
    </row>
    <row r="259" spans="1:16">
      <c r="A259" t="s">
        <v>506</v>
      </c>
      <c r="B259" s="2" t="s">
        <v>471</v>
      </c>
      <c r="C259" t="s">
        <v>18</v>
      </c>
      <c r="D259" t="s">
        <v>19</v>
      </c>
      <c r="E259" t="s">
        <v>64</v>
      </c>
      <c r="F259" t="s">
        <v>105</v>
      </c>
      <c r="G259" t="s">
        <v>46</v>
      </c>
      <c r="H259" t="s">
        <v>78</v>
      </c>
      <c r="I259" t="s">
        <v>78</v>
      </c>
      <c r="J259" t="s">
        <v>24</v>
      </c>
      <c r="K259" s="3">
        <v>13</v>
      </c>
      <c r="L259" s="3">
        <v>199.98</v>
      </c>
      <c r="M259" s="3">
        <v>2599.7399999999998</v>
      </c>
      <c r="N259" s="3">
        <v>1552.51</v>
      </c>
      <c r="O259" s="3">
        <v>1047.23</v>
      </c>
      <c r="P259" s="3">
        <v>2786.32</v>
      </c>
    </row>
    <row r="260" spans="1:16">
      <c r="A260" t="s">
        <v>507</v>
      </c>
      <c r="B260" s="2" t="s">
        <v>367</v>
      </c>
      <c r="C260" t="s">
        <v>102</v>
      </c>
      <c r="D260" t="s">
        <v>82</v>
      </c>
      <c r="E260" t="s">
        <v>34</v>
      </c>
      <c r="F260" t="s">
        <v>45</v>
      </c>
      <c r="G260" t="s">
        <v>41</v>
      </c>
      <c r="H260" t="s">
        <v>51</v>
      </c>
      <c r="I260" t="s">
        <v>51</v>
      </c>
      <c r="J260" t="s">
        <v>24</v>
      </c>
      <c r="K260" s="3">
        <v>1</v>
      </c>
      <c r="L260" s="3">
        <v>21.24</v>
      </c>
      <c r="M260" s="3">
        <v>21.24</v>
      </c>
      <c r="N260" s="3">
        <v>10.37</v>
      </c>
      <c r="O260" s="3">
        <v>10.87</v>
      </c>
      <c r="P260" s="3">
        <v>24.35</v>
      </c>
    </row>
    <row r="261" spans="1:16">
      <c r="A261" t="s">
        <v>508</v>
      </c>
      <c r="B261" s="2" t="s">
        <v>315</v>
      </c>
      <c r="C261" t="s">
        <v>55</v>
      </c>
      <c r="D261" t="s">
        <v>19</v>
      </c>
      <c r="E261" t="s">
        <v>34</v>
      </c>
      <c r="F261" t="s">
        <v>35</v>
      </c>
      <c r="G261" t="s">
        <v>46</v>
      </c>
      <c r="H261" t="s">
        <v>66</v>
      </c>
      <c r="I261" t="s">
        <v>66</v>
      </c>
      <c r="J261" t="s">
        <v>61</v>
      </c>
      <c r="K261" s="3">
        <v>14</v>
      </c>
      <c r="L261" s="3">
        <v>245.33</v>
      </c>
      <c r="M261" s="3">
        <v>3434.62</v>
      </c>
      <c r="N261" s="3">
        <v>2312.77</v>
      </c>
      <c r="O261" s="3">
        <v>1121.8499999999999</v>
      </c>
      <c r="P261" s="3">
        <v>3514.13</v>
      </c>
    </row>
    <row r="262" spans="1:16">
      <c r="A262" t="s">
        <v>509</v>
      </c>
      <c r="B262" s="2" t="s">
        <v>414</v>
      </c>
      <c r="C262" t="s">
        <v>114</v>
      </c>
      <c r="D262" t="s">
        <v>33</v>
      </c>
      <c r="E262" t="s">
        <v>73</v>
      </c>
      <c r="F262" t="s">
        <v>74</v>
      </c>
      <c r="G262" t="s">
        <v>41</v>
      </c>
      <c r="H262" t="s">
        <v>86</v>
      </c>
      <c r="I262" t="s">
        <v>86</v>
      </c>
      <c r="J262" t="s">
        <v>84</v>
      </c>
      <c r="K262" s="3">
        <v>15</v>
      </c>
      <c r="L262" s="3">
        <v>16.37</v>
      </c>
      <c r="M262" s="3">
        <v>245.55</v>
      </c>
      <c r="N262" s="3">
        <v>114.2</v>
      </c>
      <c r="O262" s="3">
        <v>131.35</v>
      </c>
      <c r="P262" s="3">
        <v>288.60000000000002</v>
      </c>
    </row>
    <row r="263" spans="1:16">
      <c r="A263" t="s">
        <v>510</v>
      </c>
      <c r="B263" s="2" t="s">
        <v>154</v>
      </c>
      <c r="C263" t="s">
        <v>155</v>
      </c>
      <c r="D263" t="s">
        <v>82</v>
      </c>
      <c r="E263" t="s">
        <v>20</v>
      </c>
      <c r="F263" t="s">
        <v>50</v>
      </c>
      <c r="G263" t="s">
        <v>22</v>
      </c>
      <c r="H263" t="s">
        <v>23</v>
      </c>
      <c r="I263" t="s">
        <v>23</v>
      </c>
      <c r="J263" t="s">
        <v>52</v>
      </c>
      <c r="K263" s="3">
        <v>10</v>
      </c>
      <c r="L263" s="3">
        <v>301.39999999999998</v>
      </c>
      <c r="M263" s="3">
        <v>3014</v>
      </c>
      <c r="N263" s="3">
        <v>1931.8</v>
      </c>
      <c r="O263" s="3">
        <v>1082.2</v>
      </c>
      <c r="P263" s="3">
        <v>3545.83</v>
      </c>
    </row>
    <row r="264" spans="1:16">
      <c r="A264" t="s">
        <v>511</v>
      </c>
      <c r="B264" s="2" t="s">
        <v>175</v>
      </c>
      <c r="C264" t="s">
        <v>39</v>
      </c>
      <c r="D264" t="s">
        <v>40</v>
      </c>
      <c r="E264" t="s">
        <v>34</v>
      </c>
      <c r="F264" t="s">
        <v>45</v>
      </c>
      <c r="G264" t="s">
        <v>22</v>
      </c>
      <c r="H264" t="s">
        <v>60</v>
      </c>
      <c r="I264" t="s">
        <v>60</v>
      </c>
      <c r="J264" t="s">
        <v>57</v>
      </c>
      <c r="K264" s="3">
        <v>6</v>
      </c>
      <c r="L264" s="3">
        <v>56.81</v>
      </c>
      <c r="M264" s="3">
        <v>340.86</v>
      </c>
      <c r="N264" s="3">
        <v>171.93</v>
      </c>
      <c r="O264" s="3">
        <v>168.93</v>
      </c>
      <c r="P264" s="3">
        <v>364.37</v>
      </c>
    </row>
    <row r="265" spans="1:16">
      <c r="A265" t="s">
        <v>512</v>
      </c>
      <c r="B265" s="2" t="s">
        <v>265</v>
      </c>
      <c r="C265" t="s">
        <v>102</v>
      </c>
      <c r="D265" t="s">
        <v>82</v>
      </c>
      <c r="E265" t="s">
        <v>20</v>
      </c>
      <c r="F265" t="s">
        <v>28</v>
      </c>
      <c r="G265" t="s">
        <v>22</v>
      </c>
      <c r="H265" t="s">
        <v>23</v>
      </c>
      <c r="I265" t="s">
        <v>23</v>
      </c>
      <c r="J265" t="s">
        <v>89</v>
      </c>
      <c r="K265" s="3">
        <v>5</v>
      </c>
      <c r="L265" s="3">
        <v>278.7</v>
      </c>
      <c r="M265" s="3">
        <v>1393.5</v>
      </c>
      <c r="N265" s="3">
        <v>1009.37</v>
      </c>
      <c r="O265" s="3">
        <v>384.13</v>
      </c>
      <c r="P265" s="3">
        <v>1437.82</v>
      </c>
    </row>
    <row r="266" spans="1:16">
      <c r="A266" t="s">
        <v>513</v>
      </c>
      <c r="B266" s="2" t="s">
        <v>514</v>
      </c>
      <c r="C266" t="s">
        <v>108</v>
      </c>
      <c r="D266" t="s">
        <v>40</v>
      </c>
      <c r="E266" t="s">
        <v>34</v>
      </c>
      <c r="F266" t="s">
        <v>35</v>
      </c>
      <c r="G266" t="s">
        <v>41</v>
      </c>
      <c r="H266" t="s">
        <v>69</v>
      </c>
      <c r="I266" t="s">
        <v>69</v>
      </c>
      <c r="J266" t="s">
        <v>24</v>
      </c>
      <c r="K266" s="3">
        <v>8</v>
      </c>
      <c r="L266" s="3">
        <v>11.95</v>
      </c>
      <c r="M266" s="3">
        <v>95.6</v>
      </c>
      <c r="N266" s="3">
        <v>31.63</v>
      </c>
      <c r="O266" s="3">
        <v>63.97</v>
      </c>
      <c r="P266" s="3">
        <v>105.71</v>
      </c>
    </row>
    <row r="267" spans="1:16">
      <c r="A267" t="s">
        <v>515</v>
      </c>
      <c r="B267" s="2" t="s">
        <v>516</v>
      </c>
      <c r="C267" t="s">
        <v>39</v>
      </c>
      <c r="D267" t="s">
        <v>40</v>
      </c>
      <c r="E267" t="s">
        <v>34</v>
      </c>
      <c r="F267" t="s">
        <v>45</v>
      </c>
      <c r="G267" t="s">
        <v>22</v>
      </c>
      <c r="H267" t="s">
        <v>36</v>
      </c>
      <c r="I267" t="s">
        <v>36</v>
      </c>
      <c r="J267" t="s">
        <v>24</v>
      </c>
      <c r="K267" s="3">
        <v>5</v>
      </c>
      <c r="L267" s="3">
        <v>100.2</v>
      </c>
      <c r="M267" s="3">
        <v>501</v>
      </c>
      <c r="N267" s="3">
        <v>304.25</v>
      </c>
      <c r="O267" s="3">
        <v>196.75</v>
      </c>
      <c r="P267" s="3">
        <v>544.59</v>
      </c>
    </row>
    <row r="268" spans="1:16">
      <c r="A268" t="s">
        <v>517</v>
      </c>
      <c r="B268" s="2" t="s">
        <v>518</v>
      </c>
      <c r="C268" t="s">
        <v>81</v>
      </c>
      <c r="D268" t="s">
        <v>82</v>
      </c>
      <c r="E268" t="s">
        <v>20</v>
      </c>
      <c r="F268" t="s">
        <v>56</v>
      </c>
      <c r="G268" t="s">
        <v>41</v>
      </c>
      <c r="H268" t="s">
        <v>42</v>
      </c>
      <c r="I268" t="s">
        <v>42</v>
      </c>
      <c r="J268" t="s">
        <v>89</v>
      </c>
      <c r="K268" s="3">
        <v>5</v>
      </c>
      <c r="L268" s="3">
        <v>9.4</v>
      </c>
      <c r="M268" s="3">
        <v>47</v>
      </c>
      <c r="N268" s="3">
        <v>15.63</v>
      </c>
      <c r="O268" s="3">
        <v>31.37</v>
      </c>
      <c r="P268" s="3">
        <v>50.08</v>
      </c>
    </row>
    <row r="269" spans="1:16">
      <c r="A269" t="s">
        <v>519</v>
      </c>
      <c r="B269" s="2" t="s">
        <v>520</v>
      </c>
      <c r="C269" t="s">
        <v>32</v>
      </c>
      <c r="D269" t="s">
        <v>33</v>
      </c>
      <c r="E269" t="s">
        <v>20</v>
      </c>
      <c r="F269" t="s">
        <v>56</v>
      </c>
      <c r="G269" t="s">
        <v>22</v>
      </c>
      <c r="H269" t="s">
        <v>36</v>
      </c>
      <c r="I269" t="s">
        <v>36</v>
      </c>
      <c r="J269" t="s">
        <v>52</v>
      </c>
      <c r="K269" s="3">
        <v>14</v>
      </c>
      <c r="L269" s="3">
        <v>92.18</v>
      </c>
      <c r="M269" s="3">
        <v>1290.52</v>
      </c>
      <c r="N269" s="3">
        <v>824.42</v>
      </c>
      <c r="O269" s="3">
        <v>466.1</v>
      </c>
      <c r="P269" s="3">
        <v>1160.0999999999999</v>
      </c>
    </row>
    <row r="270" spans="1:16">
      <c r="A270" t="s">
        <v>521</v>
      </c>
      <c r="B270" s="2" t="s">
        <v>179</v>
      </c>
      <c r="C270" t="s">
        <v>18</v>
      </c>
      <c r="D270" t="s">
        <v>19</v>
      </c>
      <c r="E270" t="s">
        <v>73</v>
      </c>
      <c r="F270" t="s">
        <v>128</v>
      </c>
      <c r="G270" t="s">
        <v>46</v>
      </c>
      <c r="H270" t="s">
        <v>75</v>
      </c>
      <c r="I270" t="s">
        <v>75</v>
      </c>
      <c r="J270" t="s">
        <v>57</v>
      </c>
      <c r="K270" s="3">
        <v>10</v>
      </c>
      <c r="L270" s="3">
        <v>449.22</v>
      </c>
      <c r="M270" s="3">
        <v>4492.2</v>
      </c>
      <c r="N270" s="3">
        <v>2717.52</v>
      </c>
      <c r="O270" s="3">
        <v>1774.68</v>
      </c>
      <c r="P270" s="3">
        <v>4772.62</v>
      </c>
    </row>
    <row r="271" spans="1:16">
      <c r="A271" t="s">
        <v>522</v>
      </c>
      <c r="B271" s="2" t="s">
        <v>465</v>
      </c>
      <c r="C271" t="s">
        <v>55</v>
      </c>
      <c r="D271" t="s">
        <v>19</v>
      </c>
      <c r="E271" t="s">
        <v>34</v>
      </c>
      <c r="F271" t="s">
        <v>35</v>
      </c>
      <c r="G271" t="s">
        <v>22</v>
      </c>
      <c r="H271" t="s">
        <v>36</v>
      </c>
      <c r="I271" t="s">
        <v>36</v>
      </c>
      <c r="J271" t="s">
        <v>70</v>
      </c>
      <c r="K271" s="3">
        <v>8</v>
      </c>
      <c r="L271" s="3">
        <v>92.83</v>
      </c>
      <c r="M271" s="3">
        <v>742.64</v>
      </c>
      <c r="N271" s="3">
        <v>479.98</v>
      </c>
      <c r="O271" s="3">
        <v>262.66000000000003</v>
      </c>
      <c r="P271" s="3">
        <v>785.62</v>
      </c>
    </row>
    <row r="272" spans="1:16">
      <c r="A272" t="s">
        <v>523</v>
      </c>
      <c r="B272" s="2" t="s">
        <v>524</v>
      </c>
      <c r="C272" t="s">
        <v>142</v>
      </c>
      <c r="D272" t="s">
        <v>33</v>
      </c>
      <c r="E272" t="s">
        <v>73</v>
      </c>
      <c r="F272" t="s">
        <v>74</v>
      </c>
      <c r="G272" t="s">
        <v>46</v>
      </c>
      <c r="H272" t="s">
        <v>66</v>
      </c>
      <c r="I272" t="s">
        <v>66</v>
      </c>
      <c r="J272" t="s">
        <v>24</v>
      </c>
      <c r="K272" s="3">
        <v>6</v>
      </c>
      <c r="L272" s="3">
        <v>253</v>
      </c>
      <c r="M272" s="3">
        <v>1518</v>
      </c>
      <c r="N272" s="3">
        <v>985.22</v>
      </c>
      <c r="O272" s="3">
        <v>532.78</v>
      </c>
      <c r="P272" s="3">
        <v>1797.4</v>
      </c>
    </row>
    <row r="273" spans="1:16">
      <c r="A273" t="s">
        <v>525</v>
      </c>
      <c r="B273" s="2" t="s">
        <v>445</v>
      </c>
      <c r="C273" t="s">
        <v>108</v>
      </c>
      <c r="D273" t="s">
        <v>40</v>
      </c>
      <c r="E273" t="s">
        <v>20</v>
      </c>
      <c r="F273" t="s">
        <v>28</v>
      </c>
      <c r="G273" t="s">
        <v>41</v>
      </c>
      <c r="H273" t="s">
        <v>69</v>
      </c>
      <c r="I273" t="s">
        <v>69</v>
      </c>
      <c r="J273" t="s">
        <v>52</v>
      </c>
      <c r="K273" s="3">
        <v>2</v>
      </c>
      <c r="L273" s="3">
        <v>10.9</v>
      </c>
      <c r="M273" s="3">
        <v>21.8</v>
      </c>
      <c r="N273" s="3">
        <v>8.36</v>
      </c>
      <c r="O273" s="3">
        <v>13.44</v>
      </c>
      <c r="P273" s="3">
        <v>21.57</v>
      </c>
    </row>
    <row r="274" spans="1:16">
      <c r="A274" t="s">
        <v>526</v>
      </c>
      <c r="B274" s="2" t="s">
        <v>193</v>
      </c>
      <c r="C274" t="s">
        <v>18</v>
      </c>
      <c r="D274" t="s">
        <v>19</v>
      </c>
      <c r="E274" t="s">
        <v>64</v>
      </c>
      <c r="F274" t="s">
        <v>65</v>
      </c>
      <c r="G274" t="s">
        <v>46</v>
      </c>
      <c r="H274" t="s">
        <v>66</v>
      </c>
      <c r="I274" t="s">
        <v>66</v>
      </c>
      <c r="J274" t="s">
        <v>24</v>
      </c>
      <c r="K274" s="3">
        <v>18</v>
      </c>
      <c r="L274" s="3">
        <v>238.29</v>
      </c>
      <c r="M274" s="3">
        <v>4289.22</v>
      </c>
      <c r="N274" s="3">
        <v>2890.84</v>
      </c>
      <c r="O274" s="3">
        <v>1398.38</v>
      </c>
      <c r="P274" s="3">
        <v>3875.05</v>
      </c>
    </row>
    <row r="275" spans="1:16">
      <c r="A275" t="s">
        <v>527</v>
      </c>
      <c r="B275" s="2" t="s">
        <v>528</v>
      </c>
      <c r="C275" t="s">
        <v>114</v>
      </c>
      <c r="D275" t="s">
        <v>33</v>
      </c>
      <c r="E275" t="s">
        <v>73</v>
      </c>
      <c r="F275" t="s">
        <v>137</v>
      </c>
      <c r="G275" t="s">
        <v>46</v>
      </c>
      <c r="H275" t="s">
        <v>78</v>
      </c>
      <c r="I275" t="s">
        <v>78</v>
      </c>
      <c r="J275" t="s">
        <v>57</v>
      </c>
      <c r="K275" s="3">
        <v>3</v>
      </c>
      <c r="L275" s="3">
        <v>190.74</v>
      </c>
      <c r="M275" s="3">
        <v>572.22</v>
      </c>
      <c r="N275" s="3">
        <v>353.17</v>
      </c>
      <c r="O275" s="3">
        <v>219.05</v>
      </c>
      <c r="P275" s="3">
        <v>574.01</v>
      </c>
    </row>
    <row r="276" spans="1:16">
      <c r="A276" t="s">
        <v>529</v>
      </c>
      <c r="B276" s="2" t="s">
        <v>530</v>
      </c>
      <c r="C276" t="s">
        <v>108</v>
      </c>
      <c r="D276" t="s">
        <v>40</v>
      </c>
      <c r="E276" t="s">
        <v>20</v>
      </c>
      <c r="F276" t="s">
        <v>50</v>
      </c>
      <c r="G276" t="s">
        <v>22</v>
      </c>
      <c r="H276" t="s">
        <v>36</v>
      </c>
      <c r="I276" t="s">
        <v>36</v>
      </c>
      <c r="J276" t="s">
        <v>84</v>
      </c>
      <c r="K276" s="3">
        <v>2</v>
      </c>
      <c r="L276" s="3">
        <v>97.13</v>
      </c>
      <c r="M276" s="3">
        <v>194.26</v>
      </c>
      <c r="N276" s="3">
        <v>117.71</v>
      </c>
      <c r="O276" s="3">
        <v>76.55</v>
      </c>
      <c r="P276" s="3">
        <v>215.55</v>
      </c>
    </row>
    <row r="277" spans="1:16">
      <c r="A277" t="s">
        <v>531</v>
      </c>
      <c r="B277" s="2" t="s">
        <v>483</v>
      </c>
      <c r="C277" t="s">
        <v>39</v>
      </c>
      <c r="D277" t="s">
        <v>40</v>
      </c>
      <c r="E277" t="s">
        <v>73</v>
      </c>
      <c r="F277" t="s">
        <v>83</v>
      </c>
      <c r="G277" t="s">
        <v>22</v>
      </c>
      <c r="H277" t="s">
        <v>36</v>
      </c>
      <c r="I277" t="s">
        <v>36</v>
      </c>
      <c r="J277" t="s">
        <v>52</v>
      </c>
      <c r="K277" s="3">
        <v>17</v>
      </c>
      <c r="L277" s="3">
        <v>103.61</v>
      </c>
      <c r="M277" s="3">
        <v>1761.37</v>
      </c>
      <c r="N277" s="3">
        <v>1021.76</v>
      </c>
      <c r="O277" s="3">
        <v>739.61</v>
      </c>
      <c r="P277" s="3">
        <v>2004.22</v>
      </c>
    </row>
    <row r="278" spans="1:16">
      <c r="A278" t="s">
        <v>532</v>
      </c>
      <c r="B278" s="2" t="s">
        <v>533</v>
      </c>
      <c r="C278" t="s">
        <v>111</v>
      </c>
      <c r="D278" t="s">
        <v>40</v>
      </c>
      <c r="E278" t="s">
        <v>73</v>
      </c>
      <c r="F278" t="s">
        <v>128</v>
      </c>
      <c r="G278" t="s">
        <v>46</v>
      </c>
      <c r="H278" t="s">
        <v>75</v>
      </c>
      <c r="I278" t="s">
        <v>75</v>
      </c>
      <c r="J278" t="s">
        <v>24</v>
      </c>
      <c r="K278" s="3">
        <v>1</v>
      </c>
      <c r="L278" s="3">
        <v>442.8</v>
      </c>
      <c r="M278" s="3">
        <v>442.8</v>
      </c>
      <c r="N278" s="3">
        <v>275.38</v>
      </c>
      <c r="O278" s="3">
        <v>167.42</v>
      </c>
      <c r="P278" s="3">
        <v>442.92</v>
      </c>
    </row>
    <row r="279" spans="1:16">
      <c r="A279" t="s">
        <v>534</v>
      </c>
      <c r="B279" s="2" t="s">
        <v>535</v>
      </c>
      <c r="C279" t="s">
        <v>114</v>
      </c>
      <c r="D279" t="s">
        <v>33</v>
      </c>
      <c r="E279" t="s">
        <v>20</v>
      </c>
      <c r="F279" t="s">
        <v>50</v>
      </c>
      <c r="G279" t="s">
        <v>41</v>
      </c>
      <c r="H279" t="s">
        <v>42</v>
      </c>
      <c r="I279" t="s">
        <v>42</v>
      </c>
      <c r="J279" t="s">
        <v>24</v>
      </c>
      <c r="K279" s="3">
        <v>19</v>
      </c>
      <c r="L279" s="3">
        <v>8.1999999999999993</v>
      </c>
      <c r="M279" s="3">
        <v>155.80000000000001</v>
      </c>
      <c r="N279" s="3">
        <v>55.1</v>
      </c>
      <c r="O279" s="3">
        <v>100.7</v>
      </c>
      <c r="P279" s="3">
        <v>141.01</v>
      </c>
    </row>
    <row r="280" spans="1:16">
      <c r="A280" t="s">
        <v>536</v>
      </c>
      <c r="B280" s="2" t="s">
        <v>245</v>
      </c>
      <c r="C280" t="s">
        <v>27</v>
      </c>
      <c r="D280" t="s">
        <v>19</v>
      </c>
      <c r="E280" t="s">
        <v>20</v>
      </c>
      <c r="F280" t="s">
        <v>56</v>
      </c>
      <c r="G280" t="s">
        <v>46</v>
      </c>
      <c r="H280" t="s">
        <v>75</v>
      </c>
      <c r="I280" t="s">
        <v>75</v>
      </c>
      <c r="J280" t="s">
        <v>29</v>
      </c>
      <c r="K280" s="3">
        <v>1</v>
      </c>
      <c r="L280" s="3">
        <v>381.7</v>
      </c>
      <c r="M280" s="3">
        <v>381.7</v>
      </c>
      <c r="N280" s="3">
        <v>272.85000000000002</v>
      </c>
      <c r="O280" s="3">
        <v>108.85</v>
      </c>
      <c r="P280" s="3">
        <v>387.47</v>
      </c>
    </row>
    <row r="281" spans="1:16">
      <c r="A281" t="s">
        <v>537</v>
      </c>
      <c r="B281" s="2" t="s">
        <v>538</v>
      </c>
      <c r="C281" t="s">
        <v>111</v>
      </c>
      <c r="D281" t="s">
        <v>40</v>
      </c>
      <c r="E281" t="s">
        <v>20</v>
      </c>
      <c r="F281" t="s">
        <v>50</v>
      </c>
      <c r="G281" t="s">
        <v>22</v>
      </c>
      <c r="H281" t="s">
        <v>60</v>
      </c>
      <c r="I281" t="s">
        <v>60</v>
      </c>
      <c r="J281" t="s">
        <v>61</v>
      </c>
      <c r="K281" s="3">
        <v>11</v>
      </c>
      <c r="L281" s="3">
        <v>52.23</v>
      </c>
      <c r="M281" s="3">
        <v>574.53</v>
      </c>
      <c r="N281" s="3">
        <v>322.45</v>
      </c>
      <c r="O281" s="3">
        <v>252.08</v>
      </c>
      <c r="P281" s="3">
        <v>504.01</v>
      </c>
    </row>
    <row r="282" spans="1:16">
      <c r="A282" t="s">
        <v>539</v>
      </c>
      <c r="B282" s="2" t="s">
        <v>540</v>
      </c>
      <c r="C282" t="s">
        <v>39</v>
      </c>
      <c r="D282" t="s">
        <v>40</v>
      </c>
      <c r="E282" t="s">
        <v>20</v>
      </c>
      <c r="F282" t="s">
        <v>56</v>
      </c>
      <c r="G282" t="s">
        <v>22</v>
      </c>
      <c r="H282" t="s">
        <v>95</v>
      </c>
      <c r="I282" t="s">
        <v>95</v>
      </c>
      <c r="J282" t="s">
        <v>52</v>
      </c>
      <c r="K282" s="3">
        <v>3</v>
      </c>
      <c r="L282" s="3">
        <v>709.03</v>
      </c>
      <c r="M282" s="3">
        <v>2127.09</v>
      </c>
      <c r="N282" s="3">
        <v>1618.81</v>
      </c>
      <c r="O282" s="3">
        <v>508.28</v>
      </c>
      <c r="P282" s="3">
        <v>2452.77</v>
      </c>
    </row>
    <row r="283" spans="1:16">
      <c r="A283" t="s">
        <v>541</v>
      </c>
      <c r="B283" s="2" t="s">
        <v>319</v>
      </c>
      <c r="C283" t="s">
        <v>142</v>
      </c>
      <c r="D283" t="s">
        <v>33</v>
      </c>
      <c r="E283" t="s">
        <v>64</v>
      </c>
      <c r="F283" t="s">
        <v>103</v>
      </c>
      <c r="G283" t="s">
        <v>41</v>
      </c>
      <c r="H283" t="s">
        <v>69</v>
      </c>
      <c r="I283" t="s">
        <v>69</v>
      </c>
      <c r="J283" t="s">
        <v>61</v>
      </c>
      <c r="K283" s="3">
        <v>10</v>
      </c>
      <c r="L283" s="3">
        <v>11.5</v>
      </c>
      <c r="M283" s="3">
        <v>115</v>
      </c>
      <c r="N283" s="3">
        <v>40.96</v>
      </c>
      <c r="O283" s="3">
        <v>74.040000000000006</v>
      </c>
      <c r="P283" s="3">
        <v>107.51</v>
      </c>
    </row>
    <row r="284" spans="1:16">
      <c r="A284" t="s">
        <v>542</v>
      </c>
      <c r="B284" s="2" t="s">
        <v>391</v>
      </c>
      <c r="C284" t="s">
        <v>27</v>
      </c>
      <c r="D284" t="s">
        <v>19</v>
      </c>
      <c r="E284" t="s">
        <v>73</v>
      </c>
      <c r="F284" t="s">
        <v>137</v>
      </c>
      <c r="G284" t="s">
        <v>22</v>
      </c>
      <c r="H284" t="s">
        <v>95</v>
      </c>
      <c r="I284" t="s">
        <v>95</v>
      </c>
      <c r="J284" t="s">
        <v>70</v>
      </c>
      <c r="K284" s="3">
        <v>1</v>
      </c>
      <c r="L284" s="3">
        <v>706.21</v>
      </c>
      <c r="M284" s="3">
        <v>706.21</v>
      </c>
      <c r="N284" s="3">
        <v>506.12</v>
      </c>
      <c r="O284" s="3">
        <v>200.09</v>
      </c>
      <c r="P284" s="3">
        <v>685.91</v>
      </c>
    </row>
    <row r="285" spans="1:16">
      <c r="A285" t="s">
        <v>543</v>
      </c>
      <c r="B285" s="2" t="s">
        <v>462</v>
      </c>
      <c r="C285" t="s">
        <v>142</v>
      </c>
      <c r="D285" t="s">
        <v>33</v>
      </c>
      <c r="E285" t="s">
        <v>64</v>
      </c>
      <c r="F285" t="s">
        <v>145</v>
      </c>
      <c r="G285" t="s">
        <v>22</v>
      </c>
      <c r="H285" t="s">
        <v>23</v>
      </c>
      <c r="I285" t="s">
        <v>23</v>
      </c>
      <c r="J285" t="s">
        <v>84</v>
      </c>
      <c r="K285" s="3">
        <v>8</v>
      </c>
      <c r="L285" s="3">
        <v>281.67</v>
      </c>
      <c r="M285" s="3">
        <v>2253.36</v>
      </c>
      <c r="N285" s="3">
        <v>1587.17</v>
      </c>
      <c r="O285" s="3">
        <v>666.19</v>
      </c>
      <c r="P285" s="3">
        <v>2673.42</v>
      </c>
    </row>
    <row r="286" spans="1:16">
      <c r="A286" t="s">
        <v>544</v>
      </c>
      <c r="B286" s="2" t="s">
        <v>545</v>
      </c>
      <c r="C286" t="s">
        <v>55</v>
      </c>
      <c r="D286" t="s">
        <v>19</v>
      </c>
      <c r="E286" t="s">
        <v>20</v>
      </c>
      <c r="F286" t="s">
        <v>28</v>
      </c>
      <c r="G286" t="s">
        <v>22</v>
      </c>
      <c r="H286" t="s">
        <v>36</v>
      </c>
      <c r="I286" t="s">
        <v>36</v>
      </c>
      <c r="J286" t="s">
        <v>24</v>
      </c>
      <c r="K286" s="3">
        <v>12</v>
      </c>
      <c r="L286" s="3">
        <v>98.82</v>
      </c>
      <c r="M286" s="3">
        <v>1185.8399999999999</v>
      </c>
      <c r="N286" s="3">
        <v>717.01</v>
      </c>
      <c r="O286" s="3">
        <v>468.83</v>
      </c>
      <c r="P286" s="3">
        <v>1318.38</v>
      </c>
    </row>
    <row r="287" spans="1:16">
      <c r="A287" t="s">
        <v>546</v>
      </c>
      <c r="B287" s="2" t="s">
        <v>313</v>
      </c>
      <c r="C287" t="s">
        <v>81</v>
      </c>
      <c r="D287" t="s">
        <v>82</v>
      </c>
      <c r="E287" t="s">
        <v>64</v>
      </c>
      <c r="F287" t="s">
        <v>103</v>
      </c>
      <c r="G287" t="s">
        <v>46</v>
      </c>
      <c r="H287" t="s">
        <v>75</v>
      </c>
      <c r="I287" t="s">
        <v>75</v>
      </c>
      <c r="J287" t="s">
        <v>61</v>
      </c>
      <c r="K287" s="3">
        <v>5</v>
      </c>
      <c r="L287" s="3">
        <v>414.54</v>
      </c>
      <c r="M287" s="3">
        <v>2072.6999999999998</v>
      </c>
      <c r="N287" s="3">
        <v>1363.15</v>
      </c>
      <c r="O287" s="3">
        <v>709.55</v>
      </c>
      <c r="P287" s="3">
        <v>1951.13</v>
      </c>
    </row>
    <row r="288" spans="1:16">
      <c r="A288" t="s">
        <v>547</v>
      </c>
      <c r="B288" s="2" t="s">
        <v>220</v>
      </c>
      <c r="C288" t="s">
        <v>102</v>
      </c>
      <c r="D288" t="s">
        <v>82</v>
      </c>
      <c r="E288" t="s">
        <v>34</v>
      </c>
      <c r="F288" t="s">
        <v>45</v>
      </c>
      <c r="G288" t="s">
        <v>41</v>
      </c>
      <c r="H288" t="s">
        <v>42</v>
      </c>
      <c r="I288" t="s">
        <v>42</v>
      </c>
      <c r="J288" t="s">
        <v>24</v>
      </c>
      <c r="K288" s="3">
        <v>7</v>
      </c>
      <c r="L288" s="3">
        <v>8.52</v>
      </c>
      <c r="M288" s="3">
        <v>59.64</v>
      </c>
      <c r="N288" s="3">
        <v>20.239999999999998</v>
      </c>
      <c r="O288" s="3">
        <v>39.4</v>
      </c>
      <c r="P288" s="3">
        <v>66.77</v>
      </c>
    </row>
    <row r="289" spans="1:16">
      <c r="A289" t="s">
        <v>548</v>
      </c>
      <c r="B289" s="2" t="s">
        <v>549</v>
      </c>
      <c r="C289" t="s">
        <v>111</v>
      </c>
      <c r="D289" t="s">
        <v>40</v>
      </c>
      <c r="E289" t="s">
        <v>73</v>
      </c>
      <c r="F289" t="s">
        <v>74</v>
      </c>
      <c r="G289" t="s">
        <v>41</v>
      </c>
      <c r="H289" t="s">
        <v>42</v>
      </c>
      <c r="I289" t="s">
        <v>42</v>
      </c>
      <c r="J289" t="s">
        <v>89</v>
      </c>
      <c r="K289" s="3">
        <v>18</v>
      </c>
      <c r="L289" s="3">
        <v>8.83</v>
      </c>
      <c r="M289" s="3">
        <v>158.94</v>
      </c>
      <c r="N289" s="3">
        <v>53.23</v>
      </c>
      <c r="O289" s="3">
        <v>105.71</v>
      </c>
      <c r="P289" s="3">
        <v>177.95</v>
      </c>
    </row>
    <row r="290" spans="1:16">
      <c r="A290" t="s">
        <v>550</v>
      </c>
      <c r="B290" s="2" t="s">
        <v>331</v>
      </c>
      <c r="C290" t="s">
        <v>114</v>
      </c>
      <c r="D290" t="s">
        <v>33</v>
      </c>
      <c r="E290" t="s">
        <v>34</v>
      </c>
      <c r="F290" t="s">
        <v>35</v>
      </c>
      <c r="G290" t="s">
        <v>22</v>
      </c>
      <c r="H290" t="s">
        <v>23</v>
      </c>
      <c r="I290" t="s">
        <v>23</v>
      </c>
      <c r="J290" t="s">
        <v>70</v>
      </c>
      <c r="K290" s="3">
        <v>10</v>
      </c>
      <c r="L290" s="3">
        <v>297.23</v>
      </c>
      <c r="M290" s="3">
        <v>2972.3</v>
      </c>
      <c r="N290" s="3">
        <v>2065.2800000000002</v>
      </c>
      <c r="O290" s="3">
        <v>907.02</v>
      </c>
      <c r="P290" s="3">
        <v>3251.42</v>
      </c>
    </row>
    <row r="291" spans="1:16">
      <c r="A291" t="s">
        <v>551</v>
      </c>
      <c r="B291" s="2" t="s">
        <v>169</v>
      </c>
      <c r="C291" t="s">
        <v>32</v>
      </c>
      <c r="D291" t="s">
        <v>33</v>
      </c>
      <c r="E291" t="s">
        <v>34</v>
      </c>
      <c r="F291" t="s">
        <v>123</v>
      </c>
      <c r="G291" t="s">
        <v>22</v>
      </c>
      <c r="H291" t="s">
        <v>23</v>
      </c>
      <c r="I291" t="s">
        <v>23</v>
      </c>
      <c r="J291" t="s">
        <v>52</v>
      </c>
      <c r="K291" s="3">
        <v>13</v>
      </c>
      <c r="L291" s="3">
        <v>306.23</v>
      </c>
      <c r="M291" s="3">
        <v>3980.99</v>
      </c>
      <c r="N291" s="3">
        <v>2603.5</v>
      </c>
      <c r="O291" s="3">
        <v>1377.49</v>
      </c>
      <c r="P291" s="3">
        <v>4327.3900000000003</v>
      </c>
    </row>
    <row r="292" spans="1:16">
      <c r="A292" t="s">
        <v>552</v>
      </c>
      <c r="B292" s="2" t="s">
        <v>553</v>
      </c>
      <c r="C292" t="s">
        <v>111</v>
      </c>
      <c r="D292" t="s">
        <v>40</v>
      </c>
      <c r="E292" t="s">
        <v>64</v>
      </c>
      <c r="F292" t="s">
        <v>65</v>
      </c>
      <c r="G292" t="s">
        <v>46</v>
      </c>
      <c r="H292" t="s">
        <v>47</v>
      </c>
      <c r="I292" t="s">
        <v>47</v>
      </c>
      <c r="J292" t="s">
        <v>70</v>
      </c>
      <c r="K292" s="3">
        <v>4</v>
      </c>
      <c r="L292" s="3">
        <v>284.87</v>
      </c>
      <c r="M292" s="3">
        <v>1139.48</v>
      </c>
      <c r="N292" s="3">
        <v>783.1</v>
      </c>
      <c r="O292" s="3">
        <v>356.38</v>
      </c>
      <c r="P292" s="3">
        <v>1024.31</v>
      </c>
    </row>
    <row r="293" spans="1:16">
      <c r="A293" t="s">
        <v>554</v>
      </c>
      <c r="B293" s="2" t="s">
        <v>251</v>
      </c>
      <c r="C293" t="s">
        <v>108</v>
      </c>
      <c r="D293" t="s">
        <v>40</v>
      </c>
      <c r="E293" t="s">
        <v>73</v>
      </c>
      <c r="F293" t="s">
        <v>137</v>
      </c>
      <c r="G293" t="s">
        <v>22</v>
      </c>
      <c r="H293" t="s">
        <v>36</v>
      </c>
      <c r="I293" t="s">
        <v>36</v>
      </c>
      <c r="J293" t="s">
        <v>24</v>
      </c>
      <c r="K293" s="3">
        <v>3</v>
      </c>
      <c r="L293" s="3">
        <v>92.57</v>
      </c>
      <c r="M293" s="3">
        <v>277.70999999999998</v>
      </c>
      <c r="N293" s="3">
        <v>181.48</v>
      </c>
      <c r="O293" s="3">
        <v>96.23</v>
      </c>
      <c r="P293" s="3">
        <v>261.20999999999998</v>
      </c>
    </row>
    <row r="294" spans="1:16">
      <c r="A294" t="s">
        <v>555</v>
      </c>
      <c r="B294" s="2" t="s">
        <v>556</v>
      </c>
      <c r="C294" t="s">
        <v>108</v>
      </c>
      <c r="D294" t="s">
        <v>40</v>
      </c>
      <c r="E294" t="s">
        <v>73</v>
      </c>
      <c r="F294" t="s">
        <v>74</v>
      </c>
      <c r="G294" t="s">
        <v>22</v>
      </c>
      <c r="H294" t="s">
        <v>95</v>
      </c>
      <c r="I294" t="s">
        <v>95</v>
      </c>
      <c r="J294" t="s">
        <v>70</v>
      </c>
      <c r="K294" s="3">
        <v>11</v>
      </c>
      <c r="L294" s="3">
        <v>702.66</v>
      </c>
      <c r="M294" s="3">
        <v>7729.26</v>
      </c>
      <c r="N294" s="3">
        <v>5504.09</v>
      </c>
      <c r="O294" s="3">
        <v>2225.17</v>
      </c>
      <c r="P294" s="3">
        <v>9118.9699999999993</v>
      </c>
    </row>
    <row r="295" spans="1:16">
      <c r="A295" t="s">
        <v>557</v>
      </c>
      <c r="B295" s="2" t="s">
        <v>558</v>
      </c>
      <c r="C295" t="s">
        <v>111</v>
      </c>
      <c r="D295" t="s">
        <v>40</v>
      </c>
      <c r="E295" t="s">
        <v>64</v>
      </c>
      <c r="F295" t="s">
        <v>65</v>
      </c>
      <c r="G295" t="s">
        <v>41</v>
      </c>
      <c r="H295" t="s">
        <v>86</v>
      </c>
      <c r="I295" t="s">
        <v>86</v>
      </c>
      <c r="J295" t="s">
        <v>84</v>
      </c>
      <c r="K295" s="3">
        <v>14</v>
      </c>
      <c r="L295" s="3">
        <v>17.579999999999998</v>
      </c>
      <c r="M295" s="3">
        <v>246.12</v>
      </c>
      <c r="N295" s="3">
        <v>108.34</v>
      </c>
      <c r="O295" s="3">
        <v>137.78</v>
      </c>
      <c r="P295" s="3">
        <v>227.7</v>
      </c>
    </row>
    <row r="296" spans="1:16">
      <c r="A296" t="s">
        <v>559</v>
      </c>
      <c r="B296" s="2" t="s">
        <v>560</v>
      </c>
      <c r="C296" t="s">
        <v>114</v>
      </c>
      <c r="D296" t="s">
        <v>33</v>
      </c>
      <c r="E296" t="s">
        <v>64</v>
      </c>
      <c r="F296" t="s">
        <v>105</v>
      </c>
      <c r="G296" t="s">
        <v>22</v>
      </c>
      <c r="H296" t="s">
        <v>23</v>
      </c>
      <c r="I296" t="s">
        <v>23</v>
      </c>
      <c r="J296" t="s">
        <v>70</v>
      </c>
      <c r="K296" s="3">
        <v>16</v>
      </c>
      <c r="L296" s="3">
        <v>288.25</v>
      </c>
      <c r="M296" s="3">
        <v>4612</v>
      </c>
      <c r="N296" s="3">
        <v>3171.84</v>
      </c>
      <c r="O296" s="3">
        <v>1440.16</v>
      </c>
      <c r="P296" s="3">
        <v>4809.12</v>
      </c>
    </row>
    <row r="297" spans="1:16">
      <c r="A297" t="s">
        <v>561</v>
      </c>
      <c r="B297" s="2" t="s">
        <v>562</v>
      </c>
      <c r="C297" t="s">
        <v>39</v>
      </c>
      <c r="D297" t="s">
        <v>40</v>
      </c>
      <c r="E297" t="s">
        <v>64</v>
      </c>
      <c r="F297" t="s">
        <v>105</v>
      </c>
      <c r="G297" t="s">
        <v>41</v>
      </c>
      <c r="H297" t="s">
        <v>69</v>
      </c>
      <c r="I297" t="s">
        <v>69</v>
      </c>
      <c r="J297" t="s">
        <v>70</v>
      </c>
      <c r="K297" s="3">
        <v>17</v>
      </c>
      <c r="L297" s="3">
        <v>12.34</v>
      </c>
      <c r="M297" s="3">
        <v>209.78</v>
      </c>
      <c r="N297" s="3">
        <v>66.290000000000006</v>
      </c>
      <c r="O297" s="3">
        <v>143.49</v>
      </c>
      <c r="P297" s="3">
        <v>251.3</v>
      </c>
    </row>
    <row r="298" spans="1:16">
      <c r="A298" t="s">
        <v>563</v>
      </c>
      <c r="B298" s="2" t="s">
        <v>564</v>
      </c>
      <c r="C298" t="s">
        <v>102</v>
      </c>
      <c r="D298" t="s">
        <v>82</v>
      </c>
      <c r="E298" t="s">
        <v>34</v>
      </c>
      <c r="F298" t="s">
        <v>92</v>
      </c>
      <c r="G298" t="s">
        <v>46</v>
      </c>
      <c r="H298" t="s">
        <v>66</v>
      </c>
      <c r="I298" t="s">
        <v>66</v>
      </c>
      <c r="J298" t="s">
        <v>84</v>
      </c>
      <c r="K298" s="3">
        <v>19</v>
      </c>
      <c r="L298" s="3">
        <v>251.89</v>
      </c>
      <c r="M298" s="3">
        <v>4785.91</v>
      </c>
      <c r="N298" s="3">
        <v>3040.73</v>
      </c>
      <c r="O298" s="3">
        <v>1745.18</v>
      </c>
      <c r="P298" s="3">
        <v>4718.59</v>
      </c>
    </row>
    <row r="299" spans="1:16">
      <c r="A299" t="s">
        <v>565</v>
      </c>
      <c r="B299" s="2" t="s">
        <v>566</v>
      </c>
      <c r="C299" t="s">
        <v>108</v>
      </c>
      <c r="D299" t="s">
        <v>40</v>
      </c>
      <c r="E299" t="s">
        <v>73</v>
      </c>
      <c r="F299" t="s">
        <v>83</v>
      </c>
      <c r="G299" t="s">
        <v>41</v>
      </c>
      <c r="H299" t="s">
        <v>86</v>
      </c>
      <c r="I299" t="s">
        <v>86</v>
      </c>
      <c r="J299" t="s">
        <v>57</v>
      </c>
      <c r="K299" s="3">
        <v>16</v>
      </c>
      <c r="L299" s="3">
        <v>19.11</v>
      </c>
      <c r="M299" s="3">
        <v>305.76</v>
      </c>
      <c r="N299" s="3">
        <v>128.38</v>
      </c>
      <c r="O299" s="3">
        <v>177.38</v>
      </c>
      <c r="P299" s="3">
        <v>341.96</v>
      </c>
    </row>
    <row r="300" spans="1:16">
      <c r="A300" t="s">
        <v>567</v>
      </c>
      <c r="B300" s="2" t="s">
        <v>549</v>
      </c>
      <c r="C300" t="s">
        <v>111</v>
      </c>
      <c r="D300" t="s">
        <v>40</v>
      </c>
      <c r="E300" t="s">
        <v>73</v>
      </c>
      <c r="F300" t="s">
        <v>137</v>
      </c>
      <c r="G300" t="s">
        <v>41</v>
      </c>
      <c r="H300" t="s">
        <v>86</v>
      </c>
      <c r="I300" t="s">
        <v>86</v>
      </c>
      <c r="J300" t="s">
        <v>29</v>
      </c>
      <c r="K300" s="3">
        <v>8</v>
      </c>
      <c r="L300" s="3">
        <v>18.95</v>
      </c>
      <c r="M300" s="3">
        <v>151.6</v>
      </c>
      <c r="N300" s="3">
        <v>64.48</v>
      </c>
      <c r="O300" s="3">
        <v>87.12</v>
      </c>
      <c r="P300" s="3">
        <v>181</v>
      </c>
    </row>
    <row r="301" spans="1:16">
      <c r="A301" t="s">
        <v>568</v>
      </c>
      <c r="B301" s="2" t="s">
        <v>569</v>
      </c>
      <c r="C301" t="s">
        <v>142</v>
      </c>
      <c r="D301" t="s">
        <v>33</v>
      </c>
      <c r="E301" t="s">
        <v>73</v>
      </c>
      <c r="F301" t="s">
        <v>137</v>
      </c>
      <c r="G301" t="s">
        <v>22</v>
      </c>
      <c r="H301" t="s">
        <v>60</v>
      </c>
      <c r="I301" t="s">
        <v>60</v>
      </c>
      <c r="J301" t="s">
        <v>61</v>
      </c>
      <c r="K301" s="3">
        <v>12</v>
      </c>
      <c r="L301" s="3">
        <v>58.37</v>
      </c>
      <c r="M301" s="3">
        <v>700.44</v>
      </c>
      <c r="N301" s="3">
        <v>374.9</v>
      </c>
      <c r="O301" s="3">
        <v>325.54000000000002</v>
      </c>
      <c r="P301" s="3">
        <v>602.29</v>
      </c>
    </row>
    <row r="302" spans="1:16">
      <c r="A302" t="s">
        <v>570</v>
      </c>
      <c r="B302" s="2" t="s">
        <v>370</v>
      </c>
      <c r="C302" t="s">
        <v>27</v>
      </c>
      <c r="D302" t="s">
        <v>19</v>
      </c>
      <c r="E302" t="s">
        <v>73</v>
      </c>
      <c r="F302" t="s">
        <v>137</v>
      </c>
      <c r="G302" t="s">
        <v>41</v>
      </c>
      <c r="H302" t="s">
        <v>42</v>
      </c>
      <c r="I302" t="s">
        <v>42</v>
      </c>
      <c r="J302" t="s">
        <v>57</v>
      </c>
      <c r="K302" s="3">
        <v>2</v>
      </c>
      <c r="L302" s="3">
        <v>8.42</v>
      </c>
      <c r="M302" s="3">
        <v>16.84</v>
      </c>
      <c r="N302" s="3">
        <v>5.75</v>
      </c>
      <c r="O302" s="3">
        <v>11.09</v>
      </c>
      <c r="P302" s="3">
        <v>15.69</v>
      </c>
    </row>
    <row r="303" spans="1:16">
      <c r="A303" t="s">
        <v>571</v>
      </c>
      <c r="B303" s="2" t="s">
        <v>116</v>
      </c>
      <c r="C303" t="s">
        <v>108</v>
      </c>
      <c r="D303" t="s">
        <v>40</v>
      </c>
      <c r="E303" t="s">
        <v>64</v>
      </c>
      <c r="F303" t="s">
        <v>103</v>
      </c>
      <c r="G303" t="s">
        <v>41</v>
      </c>
      <c r="H303" t="s">
        <v>69</v>
      </c>
      <c r="I303" t="s">
        <v>69</v>
      </c>
      <c r="J303" t="s">
        <v>61</v>
      </c>
      <c r="K303" s="3">
        <v>11</v>
      </c>
      <c r="L303" s="3">
        <v>12.74</v>
      </c>
      <c r="M303" s="3">
        <v>140.13999999999999</v>
      </c>
      <c r="N303" s="3">
        <v>44.95</v>
      </c>
      <c r="O303" s="3">
        <v>95.19</v>
      </c>
      <c r="P303" s="3">
        <v>164.18</v>
      </c>
    </row>
    <row r="304" spans="1:16">
      <c r="A304" t="s">
        <v>572</v>
      </c>
      <c r="B304" s="2" t="s">
        <v>514</v>
      </c>
      <c r="C304" t="s">
        <v>108</v>
      </c>
      <c r="D304" t="s">
        <v>40</v>
      </c>
      <c r="E304" t="s">
        <v>73</v>
      </c>
      <c r="F304" t="s">
        <v>137</v>
      </c>
      <c r="G304" t="s">
        <v>22</v>
      </c>
      <c r="H304" t="s">
        <v>60</v>
      </c>
      <c r="I304" t="s">
        <v>60</v>
      </c>
      <c r="J304" t="s">
        <v>24</v>
      </c>
      <c r="K304" s="3">
        <v>12</v>
      </c>
      <c r="L304" s="3">
        <v>60.07</v>
      </c>
      <c r="M304" s="3">
        <v>720.84</v>
      </c>
      <c r="N304" s="3">
        <v>367.36</v>
      </c>
      <c r="O304" s="3">
        <v>353.48</v>
      </c>
      <c r="P304" s="3">
        <v>779.77</v>
      </c>
    </row>
    <row r="305" spans="1:16">
      <c r="A305" t="s">
        <v>573</v>
      </c>
      <c r="B305" s="2" t="s">
        <v>141</v>
      </c>
      <c r="C305" t="s">
        <v>142</v>
      </c>
      <c r="D305" t="s">
        <v>33</v>
      </c>
      <c r="E305" t="s">
        <v>34</v>
      </c>
      <c r="F305" t="s">
        <v>123</v>
      </c>
      <c r="G305" t="s">
        <v>22</v>
      </c>
      <c r="H305" t="s">
        <v>36</v>
      </c>
      <c r="I305" t="s">
        <v>36</v>
      </c>
      <c r="J305" t="s">
        <v>61</v>
      </c>
      <c r="K305" s="3">
        <v>16</v>
      </c>
      <c r="L305" s="3">
        <v>100.55</v>
      </c>
      <c r="M305" s="3">
        <v>1608.8</v>
      </c>
      <c r="N305" s="3">
        <v>974.32</v>
      </c>
      <c r="O305" s="3">
        <v>634.48</v>
      </c>
      <c r="P305" s="3">
        <v>1465.57</v>
      </c>
    </row>
    <row r="306" spans="1:16">
      <c r="A306" t="s">
        <v>574</v>
      </c>
      <c r="B306" s="2" t="s">
        <v>575</v>
      </c>
      <c r="C306" t="s">
        <v>32</v>
      </c>
      <c r="D306" t="s">
        <v>33</v>
      </c>
      <c r="E306" t="s">
        <v>73</v>
      </c>
      <c r="F306" t="s">
        <v>74</v>
      </c>
      <c r="G306" t="s">
        <v>41</v>
      </c>
      <c r="H306" t="s">
        <v>42</v>
      </c>
      <c r="I306" t="s">
        <v>42</v>
      </c>
      <c r="J306" t="s">
        <v>29</v>
      </c>
      <c r="K306" s="3">
        <v>1</v>
      </c>
      <c r="L306" s="3">
        <v>8.33</v>
      </c>
      <c r="M306" s="3">
        <v>8.33</v>
      </c>
      <c r="N306" s="3">
        <v>3.13</v>
      </c>
      <c r="O306" s="3">
        <v>5.2</v>
      </c>
      <c r="P306" s="3">
        <v>9.85</v>
      </c>
    </row>
    <row r="307" spans="1:16">
      <c r="A307" t="s">
        <v>576</v>
      </c>
      <c r="B307" s="2" t="s">
        <v>275</v>
      </c>
      <c r="C307" t="s">
        <v>27</v>
      </c>
      <c r="D307" t="s">
        <v>19</v>
      </c>
      <c r="E307" t="s">
        <v>73</v>
      </c>
      <c r="F307" t="s">
        <v>128</v>
      </c>
      <c r="G307" t="s">
        <v>46</v>
      </c>
      <c r="H307" t="s">
        <v>47</v>
      </c>
      <c r="I307" t="s">
        <v>47</v>
      </c>
      <c r="J307" t="s">
        <v>24</v>
      </c>
      <c r="K307" s="3">
        <v>4</v>
      </c>
      <c r="L307" s="3">
        <v>318.66000000000003</v>
      </c>
      <c r="M307" s="3">
        <v>1274.6400000000001</v>
      </c>
      <c r="N307" s="3">
        <v>793.19</v>
      </c>
      <c r="O307" s="3">
        <v>481.45</v>
      </c>
      <c r="P307" s="3">
        <v>1146.19</v>
      </c>
    </row>
    <row r="308" spans="1:16">
      <c r="A308" t="s">
        <v>577</v>
      </c>
      <c r="B308" s="2" t="s">
        <v>328</v>
      </c>
      <c r="C308" t="s">
        <v>32</v>
      </c>
      <c r="D308" t="s">
        <v>33</v>
      </c>
      <c r="E308" t="s">
        <v>34</v>
      </c>
      <c r="F308" t="s">
        <v>123</v>
      </c>
      <c r="G308" t="s">
        <v>46</v>
      </c>
      <c r="H308" t="s">
        <v>75</v>
      </c>
      <c r="I308" t="s">
        <v>75</v>
      </c>
      <c r="J308" t="s">
        <v>57</v>
      </c>
      <c r="K308" s="3">
        <v>11</v>
      </c>
      <c r="L308" s="3">
        <v>447.02</v>
      </c>
      <c r="M308" s="3">
        <v>4917.22</v>
      </c>
      <c r="N308" s="3">
        <v>3063.56</v>
      </c>
      <c r="O308" s="3">
        <v>1853.66</v>
      </c>
      <c r="P308" s="3">
        <v>4636.07</v>
      </c>
    </row>
    <row r="309" spans="1:16">
      <c r="A309" t="s">
        <v>578</v>
      </c>
      <c r="B309" s="2" t="s">
        <v>579</v>
      </c>
      <c r="C309" t="s">
        <v>55</v>
      </c>
      <c r="D309" t="s">
        <v>19</v>
      </c>
      <c r="E309" t="s">
        <v>34</v>
      </c>
      <c r="F309" t="s">
        <v>45</v>
      </c>
      <c r="G309" t="s">
        <v>22</v>
      </c>
      <c r="H309" t="s">
        <v>95</v>
      </c>
      <c r="I309" t="s">
        <v>95</v>
      </c>
      <c r="J309" t="s">
        <v>29</v>
      </c>
      <c r="K309" s="3">
        <v>15</v>
      </c>
      <c r="L309" s="3">
        <v>591.26</v>
      </c>
      <c r="M309" s="3">
        <v>8868.9</v>
      </c>
      <c r="N309" s="3">
        <v>7981.42</v>
      </c>
      <c r="O309" s="3">
        <v>887.48</v>
      </c>
      <c r="P309" s="3">
        <v>10546.77</v>
      </c>
    </row>
    <row r="310" spans="1:16">
      <c r="A310" t="s">
        <v>580</v>
      </c>
      <c r="B310" s="2" t="s">
        <v>581</v>
      </c>
      <c r="C310" t="s">
        <v>155</v>
      </c>
      <c r="D310" t="s">
        <v>82</v>
      </c>
      <c r="E310" t="s">
        <v>34</v>
      </c>
      <c r="F310" t="s">
        <v>92</v>
      </c>
      <c r="G310" t="s">
        <v>22</v>
      </c>
      <c r="H310" t="s">
        <v>36</v>
      </c>
      <c r="I310" t="s">
        <v>36</v>
      </c>
      <c r="J310" t="s">
        <v>84</v>
      </c>
      <c r="K310" s="3">
        <v>19</v>
      </c>
      <c r="L310" s="3">
        <v>100.49</v>
      </c>
      <c r="M310" s="3">
        <v>1909.31</v>
      </c>
      <c r="N310" s="3">
        <v>1157.21</v>
      </c>
      <c r="O310" s="3">
        <v>752.1</v>
      </c>
      <c r="P310" s="3">
        <v>2082.11</v>
      </c>
    </row>
    <row r="311" spans="1:16">
      <c r="A311" t="s">
        <v>582</v>
      </c>
      <c r="B311" s="2" t="s">
        <v>215</v>
      </c>
      <c r="C311" t="s">
        <v>155</v>
      </c>
      <c r="D311" t="s">
        <v>82</v>
      </c>
      <c r="E311" t="s">
        <v>20</v>
      </c>
      <c r="F311" t="s">
        <v>21</v>
      </c>
      <c r="G311" t="s">
        <v>22</v>
      </c>
      <c r="H311" t="s">
        <v>60</v>
      </c>
      <c r="I311" t="s">
        <v>60</v>
      </c>
      <c r="J311" t="s">
        <v>29</v>
      </c>
      <c r="K311" s="3">
        <v>4</v>
      </c>
      <c r="L311" s="3">
        <v>52.37</v>
      </c>
      <c r="M311" s="3">
        <v>209.48</v>
      </c>
      <c r="N311" s="3">
        <v>114.89</v>
      </c>
      <c r="O311" s="3">
        <v>94.59</v>
      </c>
      <c r="P311" s="3">
        <v>190.53</v>
      </c>
    </row>
    <row r="312" spans="1:16">
      <c r="A312" t="s">
        <v>583</v>
      </c>
      <c r="B312" s="2" t="s">
        <v>584</v>
      </c>
      <c r="C312" t="s">
        <v>111</v>
      </c>
      <c r="D312" t="s">
        <v>40</v>
      </c>
      <c r="E312" t="s">
        <v>20</v>
      </c>
      <c r="F312" t="s">
        <v>28</v>
      </c>
      <c r="G312" t="s">
        <v>41</v>
      </c>
      <c r="H312" t="s">
        <v>51</v>
      </c>
      <c r="I312" t="s">
        <v>51</v>
      </c>
      <c r="J312" t="s">
        <v>29</v>
      </c>
      <c r="K312" s="3">
        <v>14</v>
      </c>
      <c r="L312" s="3">
        <v>22.9</v>
      </c>
      <c r="M312" s="3">
        <v>320.60000000000002</v>
      </c>
      <c r="N312" s="3">
        <v>146.19</v>
      </c>
      <c r="O312" s="3">
        <v>174.41</v>
      </c>
      <c r="P312" s="3">
        <v>291.02</v>
      </c>
    </row>
    <row r="313" spans="1:16">
      <c r="A313" t="s">
        <v>585</v>
      </c>
      <c r="B313" s="2" t="s">
        <v>586</v>
      </c>
      <c r="C313" t="s">
        <v>111</v>
      </c>
      <c r="D313" t="s">
        <v>40</v>
      </c>
      <c r="E313" t="s">
        <v>20</v>
      </c>
      <c r="F313" t="s">
        <v>21</v>
      </c>
      <c r="G313" t="s">
        <v>22</v>
      </c>
      <c r="H313" t="s">
        <v>23</v>
      </c>
      <c r="I313" t="s">
        <v>23</v>
      </c>
      <c r="J313" t="s">
        <v>52</v>
      </c>
      <c r="K313" s="3">
        <v>18</v>
      </c>
      <c r="L313" s="3">
        <v>274.92</v>
      </c>
      <c r="M313" s="3">
        <v>4948.5600000000004</v>
      </c>
      <c r="N313" s="3">
        <v>3679.93</v>
      </c>
      <c r="O313" s="3">
        <v>1268.6300000000001</v>
      </c>
      <c r="P313" s="3">
        <v>5470.59</v>
      </c>
    </row>
    <row r="314" spans="1:16">
      <c r="A314" t="s">
        <v>587</v>
      </c>
      <c r="B314" s="2" t="s">
        <v>373</v>
      </c>
      <c r="C314" t="s">
        <v>18</v>
      </c>
      <c r="D314" t="s">
        <v>19</v>
      </c>
      <c r="E314" t="s">
        <v>34</v>
      </c>
      <c r="F314" t="s">
        <v>123</v>
      </c>
      <c r="G314" t="s">
        <v>22</v>
      </c>
      <c r="H314" t="s">
        <v>95</v>
      </c>
      <c r="I314" t="s">
        <v>95</v>
      </c>
      <c r="J314" t="s">
        <v>61</v>
      </c>
      <c r="K314" s="3">
        <v>18</v>
      </c>
      <c r="L314" s="3">
        <v>636.08000000000004</v>
      </c>
      <c r="M314" s="3">
        <v>11449.44</v>
      </c>
      <c r="N314" s="3">
        <v>9678.1</v>
      </c>
      <c r="O314" s="3">
        <v>1771.34</v>
      </c>
      <c r="P314" s="3">
        <v>10347.51</v>
      </c>
    </row>
    <row r="315" spans="1:16">
      <c r="A315" t="s">
        <v>588</v>
      </c>
      <c r="B315" s="2" t="s">
        <v>326</v>
      </c>
      <c r="C315" t="s">
        <v>108</v>
      </c>
      <c r="D315" t="s">
        <v>40</v>
      </c>
      <c r="E315" t="s">
        <v>20</v>
      </c>
      <c r="F315" t="s">
        <v>21</v>
      </c>
      <c r="G315" t="s">
        <v>46</v>
      </c>
      <c r="H315" t="s">
        <v>66</v>
      </c>
      <c r="I315" t="s">
        <v>66</v>
      </c>
      <c r="J315" t="s">
        <v>24</v>
      </c>
      <c r="K315" s="3">
        <v>1</v>
      </c>
      <c r="L315" s="3">
        <v>244.38</v>
      </c>
      <c r="M315" s="3">
        <v>244.38</v>
      </c>
      <c r="N315" s="3">
        <v>155.31</v>
      </c>
      <c r="O315" s="3">
        <v>89.07</v>
      </c>
      <c r="P315" s="3">
        <v>262.31</v>
      </c>
    </row>
    <row r="316" spans="1:16">
      <c r="A316" t="s">
        <v>589</v>
      </c>
      <c r="B316" s="2" t="s">
        <v>249</v>
      </c>
      <c r="C316" t="s">
        <v>155</v>
      </c>
      <c r="D316" t="s">
        <v>82</v>
      </c>
      <c r="E316" t="s">
        <v>20</v>
      </c>
      <c r="F316" t="s">
        <v>21</v>
      </c>
      <c r="G316" t="s">
        <v>41</v>
      </c>
      <c r="H316" t="s">
        <v>51</v>
      </c>
      <c r="I316" t="s">
        <v>51</v>
      </c>
      <c r="J316" t="s">
        <v>84</v>
      </c>
      <c r="K316" s="3">
        <v>9</v>
      </c>
      <c r="L316" s="3">
        <v>21.95</v>
      </c>
      <c r="M316" s="3">
        <v>197.55</v>
      </c>
      <c r="N316" s="3">
        <v>86.32</v>
      </c>
      <c r="O316" s="3">
        <v>111.23</v>
      </c>
      <c r="P316" s="3">
        <v>205.54</v>
      </c>
    </row>
    <row r="317" spans="1:16">
      <c r="A317" t="s">
        <v>590</v>
      </c>
      <c r="B317" s="2" t="s">
        <v>591</v>
      </c>
      <c r="C317" t="s">
        <v>142</v>
      </c>
      <c r="D317" t="s">
        <v>33</v>
      </c>
      <c r="E317" t="s">
        <v>34</v>
      </c>
      <c r="F317" t="s">
        <v>123</v>
      </c>
      <c r="G317" t="s">
        <v>41</v>
      </c>
      <c r="H317" t="s">
        <v>86</v>
      </c>
      <c r="I317" t="s">
        <v>86</v>
      </c>
      <c r="J317" t="s">
        <v>70</v>
      </c>
      <c r="K317" s="3">
        <v>15</v>
      </c>
      <c r="L317" s="3">
        <v>17.149999999999999</v>
      </c>
      <c r="M317" s="3">
        <v>257.25</v>
      </c>
      <c r="N317" s="3">
        <v>117.16</v>
      </c>
      <c r="O317" s="3">
        <v>140.09</v>
      </c>
      <c r="P317" s="3">
        <v>294.02999999999997</v>
      </c>
    </row>
    <row r="318" spans="1:16">
      <c r="A318" t="s">
        <v>592</v>
      </c>
      <c r="B318" s="2" t="s">
        <v>292</v>
      </c>
      <c r="C318" t="s">
        <v>111</v>
      </c>
      <c r="D318" t="s">
        <v>40</v>
      </c>
      <c r="E318" t="s">
        <v>20</v>
      </c>
      <c r="F318" t="s">
        <v>28</v>
      </c>
      <c r="G318" t="s">
        <v>46</v>
      </c>
      <c r="H318" t="s">
        <v>78</v>
      </c>
      <c r="I318" t="s">
        <v>78</v>
      </c>
      <c r="J318" t="s">
        <v>70</v>
      </c>
      <c r="K318" s="3">
        <v>14</v>
      </c>
      <c r="L318" s="3">
        <v>207.02</v>
      </c>
      <c r="M318" s="3">
        <v>2898.28</v>
      </c>
      <c r="N318" s="3">
        <v>1759.08</v>
      </c>
      <c r="O318" s="3">
        <v>1139.2</v>
      </c>
      <c r="P318" s="3">
        <v>3061.76</v>
      </c>
    </row>
    <row r="319" spans="1:16">
      <c r="A319" t="s">
        <v>593</v>
      </c>
      <c r="B319" s="2" t="s">
        <v>594</v>
      </c>
      <c r="C319" t="s">
        <v>102</v>
      </c>
      <c r="D319" t="s">
        <v>82</v>
      </c>
      <c r="E319" t="s">
        <v>64</v>
      </c>
      <c r="F319" t="s">
        <v>65</v>
      </c>
      <c r="G319" t="s">
        <v>46</v>
      </c>
      <c r="H319" t="s">
        <v>47</v>
      </c>
      <c r="I319" t="s">
        <v>47</v>
      </c>
      <c r="J319" t="s">
        <v>70</v>
      </c>
      <c r="K319" s="3">
        <v>3</v>
      </c>
      <c r="L319" s="3">
        <v>308.52999999999997</v>
      </c>
      <c r="M319" s="3">
        <v>925.59</v>
      </c>
      <c r="N319" s="3">
        <v>564</v>
      </c>
      <c r="O319" s="3">
        <v>361.59</v>
      </c>
      <c r="P319" s="3">
        <v>1063.3900000000001</v>
      </c>
    </row>
    <row r="320" spans="1:16">
      <c r="A320" t="s">
        <v>595</v>
      </c>
      <c r="B320" s="2" t="s">
        <v>518</v>
      </c>
      <c r="C320" t="s">
        <v>81</v>
      </c>
      <c r="D320" t="s">
        <v>82</v>
      </c>
      <c r="E320" t="s">
        <v>73</v>
      </c>
      <c r="F320" t="s">
        <v>83</v>
      </c>
      <c r="G320" t="s">
        <v>41</v>
      </c>
      <c r="H320" t="s">
        <v>69</v>
      </c>
      <c r="I320" t="s">
        <v>69</v>
      </c>
      <c r="J320" t="s">
        <v>84</v>
      </c>
      <c r="K320" s="3">
        <v>6</v>
      </c>
      <c r="L320" s="3">
        <v>13.08</v>
      </c>
      <c r="M320" s="3">
        <v>78.48</v>
      </c>
      <c r="N320" s="3">
        <v>25.13</v>
      </c>
      <c r="O320" s="3">
        <v>53.35</v>
      </c>
      <c r="P320" s="3">
        <v>88.91</v>
      </c>
    </row>
    <row r="321" spans="1:16">
      <c r="A321" t="s">
        <v>596</v>
      </c>
      <c r="B321" s="2" t="s">
        <v>326</v>
      </c>
      <c r="C321" t="s">
        <v>108</v>
      </c>
      <c r="D321" t="s">
        <v>40</v>
      </c>
      <c r="E321" t="s">
        <v>20</v>
      </c>
      <c r="F321" t="s">
        <v>50</v>
      </c>
      <c r="G321" t="s">
        <v>22</v>
      </c>
      <c r="H321" t="s">
        <v>23</v>
      </c>
      <c r="I321" t="s">
        <v>23</v>
      </c>
      <c r="J321" t="s">
        <v>24</v>
      </c>
      <c r="K321" s="3">
        <v>9</v>
      </c>
      <c r="L321" s="3">
        <v>298.70999999999998</v>
      </c>
      <c r="M321" s="3">
        <v>2688.39</v>
      </c>
      <c r="N321" s="3">
        <v>1767.55</v>
      </c>
      <c r="O321" s="3">
        <v>920.84</v>
      </c>
      <c r="P321" s="3">
        <v>2969.29</v>
      </c>
    </row>
    <row r="322" spans="1:16">
      <c r="A322" t="s">
        <v>597</v>
      </c>
      <c r="B322" s="2" t="s">
        <v>38</v>
      </c>
      <c r="C322" t="s">
        <v>39</v>
      </c>
      <c r="D322" t="s">
        <v>40</v>
      </c>
      <c r="E322" t="s">
        <v>64</v>
      </c>
      <c r="F322" t="s">
        <v>145</v>
      </c>
      <c r="G322" t="s">
        <v>41</v>
      </c>
      <c r="H322" t="s">
        <v>51</v>
      </c>
      <c r="I322" t="s">
        <v>51</v>
      </c>
      <c r="J322" t="s">
        <v>29</v>
      </c>
      <c r="K322" s="3">
        <v>1</v>
      </c>
      <c r="L322" s="3">
        <v>23.84</v>
      </c>
      <c r="M322" s="3">
        <v>23.84</v>
      </c>
      <c r="N322" s="3">
        <v>10.29</v>
      </c>
      <c r="O322" s="3">
        <v>13.55</v>
      </c>
      <c r="P322" s="3">
        <v>25.46</v>
      </c>
    </row>
    <row r="323" spans="1:16">
      <c r="A323" t="s">
        <v>598</v>
      </c>
      <c r="B323" s="2" t="s">
        <v>303</v>
      </c>
      <c r="C323" t="s">
        <v>39</v>
      </c>
      <c r="D323" t="s">
        <v>40</v>
      </c>
      <c r="E323" t="s">
        <v>73</v>
      </c>
      <c r="F323" t="s">
        <v>137</v>
      </c>
      <c r="G323" t="s">
        <v>46</v>
      </c>
      <c r="H323" t="s">
        <v>75</v>
      </c>
      <c r="I323" t="s">
        <v>75</v>
      </c>
      <c r="J323" t="s">
        <v>61</v>
      </c>
      <c r="K323" s="3">
        <v>19</v>
      </c>
      <c r="L323" s="3">
        <v>455.69</v>
      </c>
      <c r="M323" s="3">
        <v>8658.11</v>
      </c>
      <c r="N323" s="3">
        <v>5468.72</v>
      </c>
      <c r="O323" s="3">
        <v>3189.39</v>
      </c>
      <c r="P323" s="3">
        <v>9740.4699999999993</v>
      </c>
    </row>
    <row r="324" spans="1:16">
      <c r="A324" t="s">
        <v>599</v>
      </c>
      <c r="B324" s="2" t="s">
        <v>177</v>
      </c>
      <c r="C324" t="s">
        <v>102</v>
      </c>
      <c r="D324" t="s">
        <v>82</v>
      </c>
      <c r="E324" t="s">
        <v>64</v>
      </c>
      <c r="F324" t="s">
        <v>65</v>
      </c>
      <c r="G324" t="s">
        <v>46</v>
      </c>
      <c r="H324" t="s">
        <v>66</v>
      </c>
      <c r="I324" t="s">
        <v>66</v>
      </c>
      <c r="J324" t="s">
        <v>29</v>
      </c>
      <c r="K324" s="3">
        <v>9</v>
      </c>
      <c r="L324" s="3">
        <v>235.95</v>
      </c>
      <c r="M324" s="3">
        <v>2123.5500000000002</v>
      </c>
      <c r="N324" s="3">
        <v>1426.03</v>
      </c>
      <c r="O324" s="3">
        <v>697.52</v>
      </c>
      <c r="P324" s="3">
        <v>2264.52</v>
      </c>
    </row>
    <row r="325" spans="1:16">
      <c r="A325" t="s">
        <v>600</v>
      </c>
      <c r="B325" s="2" t="s">
        <v>601</v>
      </c>
      <c r="C325" t="s">
        <v>108</v>
      </c>
      <c r="D325" t="s">
        <v>40</v>
      </c>
      <c r="E325" t="s">
        <v>34</v>
      </c>
      <c r="F325" t="s">
        <v>123</v>
      </c>
      <c r="G325" t="s">
        <v>22</v>
      </c>
      <c r="H325" t="s">
        <v>36</v>
      </c>
      <c r="I325" t="s">
        <v>36</v>
      </c>
      <c r="J325" t="s">
        <v>52</v>
      </c>
      <c r="K325" s="3">
        <v>12</v>
      </c>
      <c r="L325" s="3">
        <v>103</v>
      </c>
      <c r="M325" s="3">
        <v>1236</v>
      </c>
      <c r="N325" s="3">
        <v>685.46</v>
      </c>
      <c r="O325" s="3">
        <v>550.54</v>
      </c>
      <c r="P325" s="3">
        <v>1404.2</v>
      </c>
    </row>
    <row r="326" spans="1:16">
      <c r="A326" t="s">
        <v>602</v>
      </c>
      <c r="B326" s="2" t="s">
        <v>560</v>
      </c>
      <c r="C326" t="s">
        <v>114</v>
      </c>
      <c r="D326" t="s">
        <v>33</v>
      </c>
      <c r="E326" t="s">
        <v>64</v>
      </c>
      <c r="F326" t="s">
        <v>103</v>
      </c>
      <c r="G326" t="s">
        <v>22</v>
      </c>
      <c r="H326" t="s">
        <v>23</v>
      </c>
      <c r="I326" t="s">
        <v>23</v>
      </c>
      <c r="J326" t="s">
        <v>29</v>
      </c>
      <c r="K326" s="3">
        <v>15</v>
      </c>
      <c r="L326" s="3">
        <v>268.83</v>
      </c>
      <c r="M326" s="3">
        <v>4032.45</v>
      </c>
      <c r="N326" s="3">
        <v>3082.21</v>
      </c>
      <c r="O326" s="3">
        <v>950.24</v>
      </c>
      <c r="P326" s="3">
        <v>3880.44</v>
      </c>
    </row>
    <row r="327" spans="1:16">
      <c r="A327" t="s">
        <v>603</v>
      </c>
      <c r="B327" s="2" t="s">
        <v>604</v>
      </c>
      <c r="C327" t="s">
        <v>27</v>
      </c>
      <c r="D327" t="s">
        <v>19</v>
      </c>
      <c r="E327" t="s">
        <v>20</v>
      </c>
      <c r="F327" t="s">
        <v>56</v>
      </c>
      <c r="G327" t="s">
        <v>41</v>
      </c>
      <c r="H327" t="s">
        <v>69</v>
      </c>
      <c r="I327" t="s">
        <v>69</v>
      </c>
      <c r="J327" t="s">
        <v>61</v>
      </c>
      <c r="K327" s="3">
        <v>14</v>
      </c>
      <c r="L327" s="3">
        <v>12.99</v>
      </c>
      <c r="M327" s="3">
        <v>181.86</v>
      </c>
      <c r="N327" s="3">
        <v>57.35</v>
      </c>
      <c r="O327" s="3">
        <v>124.51</v>
      </c>
      <c r="P327" s="3">
        <v>202.92</v>
      </c>
    </row>
    <row r="328" spans="1:16">
      <c r="A328" t="s">
        <v>605</v>
      </c>
      <c r="B328" s="2" t="s">
        <v>116</v>
      </c>
      <c r="C328" t="s">
        <v>108</v>
      </c>
      <c r="D328" t="s">
        <v>40</v>
      </c>
      <c r="E328" t="s">
        <v>73</v>
      </c>
      <c r="F328" t="s">
        <v>83</v>
      </c>
      <c r="G328" t="s">
        <v>41</v>
      </c>
      <c r="H328" t="s">
        <v>51</v>
      </c>
      <c r="I328" t="s">
        <v>51</v>
      </c>
      <c r="J328" t="s">
        <v>57</v>
      </c>
      <c r="K328" s="3">
        <v>17</v>
      </c>
      <c r="L328" s="3">
        <v>20.399999999999999</v>
      </c>
      <c r="M328" s="3">
        <v>346.8</v>
      </c>
      <c r="N328" s="3">
        <v>176.45</v>
      </c>
      <c r="O328" s="3">
        <v>170.35</v>
      </c>
      <c r="P328" s="3">
        <v>298.29000000000002</v>
      </c>
    </row>
    <row r="329" spans="1:16">
      <c r="A329" t="s">
        <v>606</v>
      </c>
      <c r="B329" s="2" t="s">
        <v>169</v>
      </c>
      <c r="C329" t="s">
        <v>32</v>
      </c>
      <c r="D329" t="s">
        <v>33</v>
      </c>
      <c r="E329" t="s">
        <v>20</v>
      </c>
      <c r="F329" t="s">
        <v>56</v>
      </c>
      <c r="G329" t="s">
        <v>22</v>
      </c>
      <c r="H329" t="s">
        <v>36</v>
      </c>
      <c r="I329" t="s">
        <v>36</v>
      </c>
      <c r="J329" t="s">
        <v>89</v>
      </c>
      <c r="K329" s="3">
        <v>12</v>
      </c>
      <c r="L329" s="3">
        <v>86.46</v>
      </c>
      <c r="M329" s="3">
        <v>1037.52</v>
      </c>
      <c r="N329" s="3">
        <v>734.73</v>
      </c>
      <c r="O329" s="3">
        <v>302.79000000000002</v>
      </c>
      <c r="P329" s="3">
        <v>981.38</v>
      </c>
    </row>
    <row r="330" spans="1:16">
      <c r="A330" t="s">
        <v>607</v>
      </c>
      <c r="B330" s="2" t="s">
        <v>206</v>
      </c>
      <c r="C330" t="s">
        <v>81</v>
      </c>
      <c r="D330" t="s">
        <v>82</v>
      </c>
      <c r="E330" t="s">
        <v>20</v>
      </c>
      <c r="F330" t="s">
        <v>28</v>
      </c>
      <c r="G330" t="s">
        <v>22</v>
      </c>
      <c r="H330" t="s">
        <v>60</v>
      </c>
      <c r="I330" t="s">
        <v>60</v>
      </c>
      <c r="J330" t="s">
        <v>61</v>
      </c>
      <c r="K330" s="3">
        <v>15</v>
      </c>
      <c r="L330" s="3">
        <v>54.88</v>
      </c>
      <c r="M330" s="3">
        <v>823.2</v>
      </c>
      <c r="N330" s="3">
        <v>435.49</v>
      </c>
      <c r="O330" s="3">
        <v>387.71</v>
      </c>
      <c r="P330" s="3">
        <v>950.52</v>
      </c>
    </row>
    <row r="331" spans="1:16">
      <c r="A331" t="s">
        <v>608</v>
      </c>
      <c r="B331" s="2" t="s">
        <v>202</v>
      </c>
      <c r="C331" t="s">
        <v>142</v>
      </c>
      <c r="D331" t="s">
        <v>33</v>
      </c>
      <c r="E331" t="s">
        <v>34</v>
      </c>
      <c r="F331" t="s">
        <v>35</v>
      </c>
      <c r="G331" t="s">
        <v>41</v>
      </c>
      <c r="H331" t="s">
        <v>86</v>
      </c>
      <c r="I331" t="s">
        <v>86</v>
      </c>
      <c r="J331" t="s">
        <v>57</v>
      </c>
      <c r="K331" s="3">
        <v>6</v>
      </c>
      <c r="L331" s="3">
        <v>17.59</v>
      </c>
      <c r="M331" s="3">
        <v>105.54</v>
      </c>
      <c r="N331" s="3">
        <v>49.7</v>
      </c>
      <c r="O331" s="3">
        <v>55.84</v>
      </c>
      <c r="P331" s="3">
        <v>118.52</v>
      </c>
    </row>
    <row r="332" spans="1:16">
      <c r="A332" t="s">
        <v>609</v>
      </c>
      <c r="B332" s="2" t="s">
        <v>63</v>
      </c>
      <c r="C332" t="s">
        <v>32</v>
      </c>
      <c r="D332" t="s">
        <v>33</v>
      </c>
      <c r="E332" t="s">
        <v>73</v>
      </c>
      <c r="F332" t="s">
        <v>137</v>
      </c>
      <c r="G332" t="s">
        <v>41</v>
      </c>
      <c r="H332" t="s">
        <v>51</v>
      </c>
      <c r="I332" t="s">
        <v>51</v>
      </c>
      <c r="J332" t="s">
        <v>84</v>
      </c>
      <c r="K332" s="3">
        <v>1</v>
      </c>
      <c r="L332" s="3">
        <v>22.06</v>
      </c>
      <c r="M332" s="3">
        <v>22.06</v>
      </c>
      <c r="N332" s="3">
        <v>9.9700000000000006</v>
      </c>
      <c r="O332" s="3">
        <v>12.09</v>
      </c>
      <c r="P332" s="3">
        <v>19.77</v>
      </c>
    </row>
    <row r="333" spans="1:16">
      <c r="A333" t="s">
        <v>610</v>
      </c>
      <c r="B333" s="2" t="s">
        <v>125</v>
      </c>
      <c r="C333" t="s">
        <v>27</v>
      </c>
      <c r="D333" t="s">
        <v>19</v>
      </c>
      <c r="E333" t="s">
        <v>20</v>
      </c>
      <c r="F333" t="s">
        <v>56</v>
      </c>
      <c r="G333" t="s">
        <v>41</v>
      </c>
      <c r="H333" t="s">
        <v>42</v>
      </c>
      <c r="I333" t="s">
        <v>42</v>
      </c>
      <c r="J333" t="s">
        <v>61</v>
      </c>
      <c r="K333" s="3">
        <v>9</v>
      </c>
      <c r="L333" s="3">
        <v>9.3800000000000008</v>
      </c>
      <c r="M333" s="3">
        <v>84.42</v>
      </c>
      <c r="N333" s="3">
        <v>26.79</v>
      </c>
      <c r="O333" s="3">
        <v>57.63</v>
      </c>
      <c r="P333" s="3">
        <v>82.88</v>
      </c>
    </row>
    <row r="334" spans="1:16">
      <c r="A334" t="s">
        <v>611</v>
      </c>
      <c r="B334" s="2" t="s">
        <v>612</v>
      </c>
      <c r="C334" t="s">
        <v>155</v>
      </c>
      <c r="D334" t="s">
        <v>82</v>
      </c>
      <c r="E334" t="s">
        <v>73</v>
      </c>
      <c r="F334" t="s">
        <v>74</v>
      </c>
      <c r="G334" t="s">
        <v>41</v>
      </c>
      <c r="H334" t="s">
        <v>51</v>
      </c>
      <c r="I334" t="s">
        <v>51</v>
      </c>
      <c r="J334" t="s">
        <v>61</v>
      </c>
      <c r="K334" s="3">
        <v>1</v>
      </c>
      <c r="L334" s="3">
        <v>22.37</v>
      </c>
      <c r="M334" s="3">
        <v>22.37</v>
      </c>
      <c r="N334" s="3">
        <v>10.01</v>
      </c>
      <c r="O334" s="3">
        <v>12.36</v>
      </c>
      <c r="P334" s="3">
        <v>24.2</v>
      </c>
    </row>
    <row r="335" spans="1:16">
      <c r="A335" t="s">
        <v>613</v>
      </c>
      <c r="B335" s="2" t="s">
        <v>614</v>
      </c>
      <c r="C335" t="s">
        <v>81</v>
      </c>
      <c r="D335" t="s">
        <v>82</v>
      </c>
      <c r="E335" t="s">
        <v>34</v>
      </c>
      <c r="F335" t="s">
        <v>45</v>
      </c>
      <c r="G335" t="s">
        <v>46</v>
      </c>
      <c r="H335" t="s">
        <v>75</v>
      </c>
      <c r="I335" t="s">
        <v>75</v>
      </c>
      <c r="J335" t="s">
        <v>52</v>
      </c>
      <c r="K335" s="3">
        <v>11</v>
      </c>
      <c r="L335" s="3">
        <v>418.47</v>
      </c>
      <c r="M335" s="3">
        <v>4603.17</v>
      </c>
      <c r="N335" s="3">
        <v>3230.42</v>
      </c>
      <c r="O335" s="3">
        <v>1372.75</v>
      </c>
      <c r="P335" s="3">
        <v>4944.76</v>
      </c>
    </row>
    <row r="336" spans="1:16">
      <c r="A336" t="s">
        <v>615</v>
      </c>
      <c r="B336" s="2" t="s">
        <v>616</v>
      </c>
      <c r="C336" t="s">
        <v>114</v>
      </c>
      <c r="D336" t="s">
        <v>33</v>
      </c>
      <c r="E336" t="s">
        <v>34</v>
      </c>
      <c r="F336" t="s">
        <v>123</v>
      </c>
      <c r="G336" t="s">
        <v>22</v>
      </c>
      <c r="H336" t="s">
        <v>23</v>
      </c>
      <c r="I336" t="s">
        <v>23</v>
      </c>
      <c r="J336" t="s">
        <v>84</v>
      </c>
      <c r="K336" s="3">
        <v>20</v>
      </c>
      <c r="L336" s="3">
        <v>302.38</v>
      </c>
      <c r="M336" s="3">
        <v>6047.6</v>
      </c>
      <c r="N336" s="3">
        <v>3961.64</v>
      </c>
      <c r="O336" s="3">
        <v>2085.96</v>
      </c>
      <c r="P336" s="3">
        <v>5816.91</v>
      </c>
    </row>
    <row r="337" spans="1:16">
      <c r="A337" t="s">
        <v>617</v>
      </c>
      <c r="B337" s="2" t="s">
        <v>618</v>
      </c>
      <c r="C337" t="s">
        <v>55</v>
      </c>
      <c r="D337" t="s">
        <v>19</v>
      </c>
      <c r="E337" t="s">
        <v>64</v>
      </c>
      <c r="F337" t="s">
        <v>145</v>
      </c>
      <c r="G337" t="s">
        <v>41</v>
      </c>
      <c r="H337" t="s">
        <v>51</v>
      </c>
      <c r="I337" t="s">
        <v>51</v>
      </c>
      <c r="J337" t="s">
        <v>57</v>
      </c>
      <c r="K337" s="3">
        <v>2</v>
      </c>
      <c r="L337" s="3">
        <v>21.58</v>
      </c>
      <c r="M337" s="3">
        <v>43.16</v>
      </c>
      <c r="N337" s="3">
        <v>20.170000000000002</v>
      </c>
      <c r="O337" s="3">
        <v>22.99</v>
      </c>
      <c r="P337" s="3">
        <v>51.71</v>
      </c>
    </row>
    <row r="338" spans="1:16">
      <c r="A338" t="s">
        <v>619</v>
      </c>
      <c r="B338" s="2" t="s">
        <v>620</v>
      </c>
      <c r="C338" t="s">
        <v>142</v>
      </c>
      <c r="D338" t="s">
        <v>33</v>
      </c>
      <c r="E338" t="s">
        <v>73</v>
      </c>
      <c r="F338" t="s">
        <v>74</v>
      </c>
      <c r="G338" t="s">
        <v>46</v>
      </c>
      <c r="H338" t="s">
        <v>78</v>
      </c>
      <c r="I338" t="s">
        <v>78</v>
      </c>
      <c r="J338" t="s">
        <v>84</v>
      </c>
      <c r="K338" s="3">
        <v>6</v>
      </c>
      <c r="L338" s="3">
        <v>195.29</v>
      </c>
      <c r="M338" s="3">
        <v>1171.74</v>
      </c>
      <c r="N338" s="3">
        <v>744.53</v>
      </c>
      <c r="O338" s="3">
        <v>427.21</v>
      </c>
      <c r="P338" s="3">
        <v>1355.44</v>
      </c>
    </row>
    <row r="339" spans="1:16">
      <c r="A339" t="s">
        <v>621</v>
      </c>
      <c r="B339" s="2" t="s">
        <v>301</v>
      </c>
      <c r="C339" t="s">
        <v>114</v>
      </c>
      <c r="D339" t="s">
        <v>33</v>
      </c>
      <c r="E339" t="s">
        <v>64</v>
      </c>
      <c r="F339" t="s">
        <v>105</v>
      </c>
      <c r="G339" t="s">
        <v>46</v>
      </c>
      <c r="H339" t="s">
        <v>78</v>
      </c>
      <c r="I339" t="s">
        <v>78</v>
      </c>
      <c r="J339" t="s">
        <v>61</v>
      </c>
      <c r="K339" s="3">
        <v>18</v>
      </c>
      <c r="L339" s="3">
        <v>203.78</v>
      </c>
      <c r="M339" s="3">
        <v>3668.04</v>
      </c>
      <c r="N339" s="3">
        <v>2216.79</v>
      </c>
      <c r="O339" s="3">
        <v>1451.25</v>
      </c>
      <c r="P339" s="3">
        <v>3352.86</v>
      </c>
    </row>
    <row r="340" spans="1:16">
      <c r="A340" t="s">
        <v>622</v>
      </c>
      <c r="B340" s="2" t="s">
        <v>179</v>
      </c>
      <c r="C340" t="s">
        <v>18</v>
      </c>
      <c r="D340" t="s">
        <v>19</v>
      </c>
      <c r="E340" t="s">
        <v>73</v>
      </c>
      <c r="F340" t="s">
        <v>128</v>
      </c>
      <c r="G340" t="s">
        <v>22</v>
      </c>
      <c r="H340" t="s">
        <v>60</v>
      </c>
      <c r="I340" t="s">
        <v>60</v>
      </c>
      <c r="J340" t="s">
        <v>89</v>
      </c>
      <c r="K340" s="3">
        <v>11</v>
      </c>
      <c r="L340" s="3">
        <v>54.13</v>
      </c>
      <c r="M340" s="3">
        <v>595.42999999999995</v>
      </c>
      <c r="N340" s="3">
        <v>325.77</v>
      </c>
      <c r="O340" s="3">
        <v>269.66000000000003</v>
      </c>
      <c r="P340" s="3">
        <v>628.15</v>
      </c>
    </row>
    <row r="341" spans="1:16">
      <c r="A341" t="s">
        <v>623</v>
      </c>
      <c r="B341" s="2" t="s">
        <v>238</v>
      </c>
      <c r="C341" t="s">
        <v>39</v>
      </c>
      <c r="D341" t="s">
        <v>40</v>
      </c>
      <c r="E341" t="s">
        <v>20</v>
      </c>
      <c r="F341" t="s">
        <v>28</v>
      </c>
      <c r="G341" t="s">
        <v>41</v>
      </c>
      <c r="H341" t="s">
        <v>69</v>
      </c>
      <c r="I341" t="s">
        <v>69</v>
      </c>
      <c r="J341" t="s">
        <v>84</v>
      </c>
      <c r="K341" s="3">
        <v>13</v>
      </c>
      <c r="L341" s="3">
        <v>12</v>
      </c>
      <c r="M341" s="3">
        <v>156</v>
      </c>
      <c r="N341" s="3">
        <v>52.16</v>
      </c>
      <c r="O341" s="3">
        <v>103.84</v>
      </c>
      <c r="P341" s="3">
        <v>155.16</v>
      </c>
    </row>
    <row r="342" spans="1:16">
      <c r="A342" t="s">
        <v>624</v>
      </c>
      <c r="B342" s="2" t="s">
        <v>255</v>
      </c>
      <c r="C342" t="s">
        <v>111</v>
      </c>
      <c r="D342" t="s">
        <v>40</v>
      </c>
      <c r="E342" t="s">
        <v>34</v>
      </c>
      <c r="F342" t="s">
        <v>92</v>
      </c>
      <c r="G342" t="s">
        <v>46</v>
      </c>
      <c r="H342" t="s">
        <v>66</v>
      </c>
      <c r="I342" t="s">
        <v>66</v>
      </c>
      <c r="J342" t="s">
        <v>84</v>
      </c>
      <c r="K342" s="3">
        <v>6</v>
      </c>
      <c r="L342" s="3">
        <v>241.45</v>
      </c>
      <c r="M342" s="3">
        <v>1448.7</v>
      </c>
      <c r="N342" s="3">
        <v>986.78</v>
      </c>
      <c r="O342" s="3">
        <v>461.92</v>
      </c>
      <c r="P342" s="3">
        <v>1478.62</v>
      </c>
    </row>
    <row r="343" spans="1:16">
      <c r="A343" t="s">
        <v>625</v>
      </c>
      <c r="B343" s="2" t="s">
        <v>144</v>
      </c>
      <c r="C343" t="s">
        <v>142</v>
      </c>
      <c r="D343" t="s">
        <v>33</v>
      </c>
      <c r="E343" t="s">
        <v>20</v>
      </c>
      <c r="F343" t="s">
        <v>28</v>
      </c>
      <c r="G343" t="s">
        <v>41</v>
      </c>
      <c r="H343" t="s">
        <v>42</v>
      </c>
      <c r="I343" t="s">
        <v>42</v>
      </c>
      <c r="J343" t="s">
        <v>24</v>
      </c>
      <c r="K343" s="3">
        <v>6</v>
      </c>
      <c r="L343" s="3">
        <v>8.48</v>
      </c>
      <c r="M343" s="3">
        <v>50.88</v>
      </c>
      <c r="N343" s="3">
        <v>18.14</v>
      </c>
      <c r="O343" s="3">
        <v>32.74</v>
      </c>
      <c r="P343" s="3">
        <v>46.07</v>
      </c>
    </row>
    <row r="344" spans="1:16">
      <c r="A344" t="s">
        <v>626</v>
      </c>
      <c r="B344" s="2" t="s">
        <v>627</v>
      </c>
      <c r="C344" t="s">
        <v>111</v>
      </c>
      <c r="D344" t="s">
        <v>40</v>
      </c>
      <c r="E344" t="s">
        <v>64</v>
      </c>
      <c r="F344" t="s">
        <v>65</v>
      </c>
      <c r="G344" t="s">
        <v>41</v>
      </c>
      <c r="H344" t="s">
        <v>51</v>
      </c>
      <c r="I344" t="s">
        <v>51</v>
      </c>
      <c r="J344" t="s">
        <v>61</v>
      </c>
      <c r="K344" s="3">
        <v>13</v>
      </c>
      <c r="L344" s="3">
        <v>24.05</v>
      </c>
      <c r="M344" s="3">
        <v>312.64999999999998</v>
      </c>
      <c r="N344" s="3">
        <v>123.56</v>
      </c>
      <c r="O344" s="3">
        <v>189.09</v>
      </c>
      <c r="P344" s="3">
        <v>324.16000000000003</v>
      </c>
    </row>
    <row r="345" spans="1:16">
      <c r="A345" t="s">
        <v>628</v>
      </c>
      <c r="B345" s="2" t="s">
        <v>566</v>
      </c>
      <c r="C345" t="s">
        <v>108</v>
      </c>
      <c r="D345" t="s">
        <v>40</v>
      </c>
      <c r="E345" t="s">
        <v>73</v>
      </c>
      <c r="F345" t="s">
        <v>83</v>
      </c>
      <c r="G345" t="s">
        <v>46</v>
      </c>
      <c r="H345" t="s">
        <v>75</v>
      </c>
      <c r="I345" t="s">
        <v>75</v>
      </c>
      <c r="J345" t="s">
        <v>52</v>
      </c>
      <c r="K345" s="3">
        <v>8</v>
      </c>
      <c r="L345" s="3">
        <v>430.64</v>
      </c>
      <c r="M345" s="3">
        <v>3445.12</v>
      </c>
      <c r="N345" s="3">
        <v>2178.6799999999998</v>
      </c>
      <c r="O345" s="3">
        <v>1266.44</v>
      </c>
      <c r="P345" s="3">
        <v>3985.81</v>
      </c>
    </row>
    <row r="346" spans="1:16">
      <c r="A346" t="s">
        <v>629</v>
      </c>
      <c r="B346" s="2" t="s">
        <v>549</v>
      </c>
      <c r="C346" t="s">
        <v>111</v>
      </c>
      <c r="D346" t="s">
        <v>40</v>
      </c>
      <c r="E346" t="s">
        <v>64</v>
      </c>
      <c r="F346" t="s">
        <v>145</v>
      </c>
      <c r="G346" t="s">
        <v>22</v>
      </c>
      <c r="H346" t="s">
        <v>95</v>
      </c>
      <c r="I346" t="s">
        <v>95</v>
      </c>
      <c r="J346" t="s">
        <v>61</v>
      </c>
      <c r="K346" s="3">
        <v>10</v>
      </c>
      <c r="L346" s="3">
        <v>692.1</v>
      </c>
      <c r="M346" s="3">
        <v>6921</v>
      </c>
      <c r="N346" s="3">
        <v>5433.2</v>
      </c>
      <c r="O346" s="3">
        <v>1487.8</v>
      </c>
      <c r="P346" s="3">
        <v>6987.26</v>
      </c>
    </row>
    <row r="347" spans="1:16">
      <c r="A347" t="s">
        <v>630</v>
      </c>
      <c r="B347" s="2" t="s">
        <v>412</v>
      </c>
      <c r="C347" t="s">
        <v>102</v>
      </c>
      <c r="D347" t="s">
        <v>82</v>
      </c>
      <c r="E347" t="s">
        <v>73</v>
      </c>
      <c r="F347" t="s">
        <v>128</v>
      </c>
      <c r="G347" t="s">
        <v>41</v>
      </c>
      <c r="H347" t="s">
        <v>42</v>
      </c>
      <c r="I347" t="s">
        <v>42</v>
      </c>
      <c r="J347" t="s">
        <v>29</v>
      </c>
      <c r="K347" s="3">
        <v>6</v>
      </c>
      <c r="L347" s="3">
        <v>9.4499999999999993</v>
      </c>
      <c r="M347" s="3">
        <v>56.7</v>
      </c>
      <c r="N347" s="3">
        <v>18.809999999999999</v>
      </c>
      <c r="O347" s="3">
        <v>37.89</v>
      </c>
      <c r="P347" s="3">
        <v>66.42</v>
      </c>
    </row>
    <row r="348" spans="1:16">
      <c r="A348" t="s">
        <v>631</v>
      </c>
      <c r="B348" s="2" t="s">
        <v>530</v>
      </c>
      <c r="C348" t="s">
        <v>108</v>
      </c>
      <c r="D348" t="s">
        <v>40</v>
      </c>
      <c r="E348" t="s">
        <v>73</v>
      </c>
      <c r="F348" t="s">
        <v>137</v>
      </c>
      <c r="G348" t="s">
        <v>22</v>
      </c>
      <c r="H348" t="s">
        <v>95</v>
      </c>
      <c r="I348" t="s">
        <v>95</v>
      </c>
      <c r="J348" t="s">
        <v>70</v>
      </c>
      <c r="K348" s="3">
        <v>6</v>
      </c>
      <c r="L348" s="3">
        <v>661.66</v>
      </c>
      <c r="M348" s="3">
        <v>3969.96</v>
      </c>
      <c r="N348" s="3">
        <v>3002.43</v>
      </c>
      <c r="O348" s="3">
        <v>967.53</v>
      </c>
      <c r="P348" s="3">
        <v>4362.54</v>
      </c>
    </row>
    <row r="349" spans="1:16">
      <c r="A349" t="s">
        <v>632</v>
      </c>
      <c r="B349" s="2" t="s">
        <v>265</v>
      </c>
      <c r="C349" t="s">
        <v>102</v>
      </c>
      <c r="D349" t="s">
        <v>82</v>
      </c>
      <c r="E349" t="s">
        <v>34</v>
      </c>
      <c r="F349" t="s">
        <v>35</v>
      </c>
      <c r="G349" t="s">
        <v>46</v>
      </c>
      <c r="H349" t="s">
        <v>75</v>
      </c>
      <c r="I349" t="s">
        <v>75</v>
      </c>
      <c r="J349" t="s">
        <v>89</v>
      </c>
      <c r="K349" s="3">
        <v>1</v>
      </c>
      <c r="L349" s="3">
        <v>433.61</v>
      </c>
      <c r="M349" s="3">
        <v>433.61</v>
      </c>
      <c r="N349" s="3">
        <v>267.35000000000002</v>
      </c>
      <c r="O349" s="3">
        <v>166.26</v>
      </c>
      <c r="P349" s="3">
        <v>386.14</v>
      </c>
    </row>
    <row r="350" spans="1:16">
      <c r="A350" t="s">
        <v>633</v>
      </c>
      <c r="B350" s="2" t="s">
        <v>501</v>
      </c>
      <c r="C350" t="s">
        <v>102</v>
      </c>
      <c r="D350" t="s">
        <v>82</v>
      </c>
      <c r="E350" t="s">
        <v>34</v>
      </c>
      <c r="F350" t="s">
        <v>92</v>
      </c>
      <c r="G350" t="s">
        <v>46</v>
      </c>
      <c r="H350" t="s">
        <v>47</v>
      </c>
      <c r="I350" t="s">
        <v>47</v>
      </c>
      <c r="J350" t="s">
        <v>52</v>
      </c>
      <c r="K350" s="3">
        <v>1</v>
      </c>
      <c r="L350" s="3">
        <v>291.74</v>
      </c>
      <c r="M350" s="3">
        <v>291.74</v>
      </c>
      <c r="N350" s="3">
        <v>186.22</v>
      </c>
      <c r="O350" s="3">
        <v>105.52</v>
      </c>
      <c r="P350" s="3">
        <v>315.54000000000002</v>
      </c>
    </row>
    <row r="351" spans="1:16">
      <c r="A351" t="s">
        <v>634</v>
      </c>
      <c r="B351" s="2" t="s">
        <v>118</v>
      </c>
      <c r="C351" t="s">
        <v>27</v>
      </c>
      <c r="D351" t="s">
        <v>19</v>
      </c>
      <c r="E351" t="s">
        <v>73</v>
      </c>
      <c r="F351" t="s">
        <v>74</v>
      </c>
      <c r="G351" t="s">
        <v>22</v>
      </c>
      <c r="H351" t="s">
        <v>95</v>
      </c>
      <c r="I351" t="s">
        <v>95</v>
      </c>
      <c r="J351" t="s">
        <v>52</v>
      </c>
      <c r="K351" s="3">
        <v>4</v>
      </c>
      <c r="L351" s="3">
        <v>621.75</v>
      </c>
      <c r="M351" s="3">
        <v>2487</v>
      </c>
      <c r="N351" s="3">
        <v>2079.5300000000002</v>
      </c>
      <c r="O351" s="3">
        <v>407.47</v>
      </c>
      <c r="P351" s="3">
        <v>2644.06</v>
      </c>
    </row>
    <row r="352" spans="1:16">
      <c r="A352" t="s">
        <v>635</v>
      </c>
      <c r="B352" s="2" t="s">
        <v>122</v>
      </c>
      <c r="C352" t="s">
        <v>81</v>
      </c>
      <c r="D352" t="s">
        <v>82</v>
      </c>
      <c r="E352" t="s">
        <v>34</v>
      </c>
      <c r="F352" t="s">
        <v>92</v>
      </c>
      <c r="G352" t="s">
        <v>41</v>
      </c>
      <c r="H352" t="s">
        <v>69</v>
      </c>
      <c r="I352" t="s">
        <v>69</v>
      </c>
      <c r="J352" t="s">
        <v>89</v>
      </c>
      <c r="K352" s="3">
        <v>16</v>
      </c>
      <c r="L352" s="3">
        <v>10.89</v>
      </c>
      <c r="M352" s="3">
        <v>174.24</v>
      </c>
      <c r="N352" s="3">
        <v>66.63</v>
      </c>
      <c r="O352" s="3">
        <v>107.61</v>
      </c>
      <c r="P352" s="3">
        <v>190.07</v>
      </c>
    </row>
    <row r="353" spans="1:16">
      <c r="A353" t="s">
        <v>636</v>
      </c>
      <c r="B353" s="2" t="s">
        <v>342</v>
      </c>
      <c r="C353" t="s">
        <v>142</v>
      </c>
      <c r="D353" t="s">
        <v>33</v>
      </c>
      <c r="E353" t="s">
        <v>20</v>
      </c>
      <c r="F353" t="s">
        <v>28</v>
      </c>
      <c r="G353" t="s">
        <v>46</v>
      </c>
      <c r="H353" t="s">
        <v>75</v>
      </c>
      <c r="I353" t="s">
        <v>75</v>
      </c>
      <c r="J353" t="s">
        <v>24</v>
      </c>
      <c r="K353" s="3">
        <v>19</v>
      </c>
      <c r="L353" s="3">
        <v>454.18</v>
      </c>
      <c r="M353" s="3">
        <v>8629.42</v>
      </c>
      <c r="N353" s="3">
        <v>5409.92</v>
      </c>
      <c r="O353" s="3">
        <v>3219.5</v>
      </c>
      <c r="P353" s="3">
        <v>7785.47</v>
      </c>
    </row>
    <row r="354" spans="1:16">
      <c r="A354" t="s">
        <v>637</v>
      </c>
      <c r="B354" s="2" t="s">
        <v>638</v>
      </c>
      <c r="C354" t="s">
        <v>81</v>
      </c>
      <c r="D354" t="s">
        <v>82</v>
      </c>
      <c r="E354" t="s">
        <v>20</v>
      </c>
      <c r="F354" t="s">
        <v>21</v>
      </c>
      <c r="G354" t="s">
        <v>46</v>
      </c>
      <c r="H354" t="s">
        <v>47</v>
      </c>
      <c r="I354" t="s">
        <v>47</v>
      </c>
      <c r="J354" t="s">
        <v>84</v>
      </c>
      <c r="K354" s="3">
        <v>10</v>
      </c>
      <c r="L354" s="3">
        <v>307.32</v>
      </c>
      <c r="M354" s="3">
        <v>3073.2</v>
      </c>
      <c r="N354" s="3">
        <v>1855.18</v>
      </c>
      <c r="O354" s="3">
        <v>1218.02</v>
      </c>
      <c r="P354" s="3">
        <v>2666.09</v>
      </c>
    </row>
    <row r="355" spans="1:16">
      <c r="A355" t="s">
        <v>639</v>
      </c>
      <c r="B355" s="2" t="s">
        <v>186</v>
      </c>
      <c r="C355" t="s">
        <v>108</v>
      </c>
      <c r="D355" t="s">
        <v>40</v>
      </c>
      <c r="E355" t="s">
        <v>34</v>
      </c>
      <c r="F355" t="s">
        <v>45</v>
      </c>
      <c r="G355" t="s">
        <v>46</v>
      </c>
      <c r="H355" t="s">
        <v>78</v>
      </c>
      <c r="I355" t="s">
        <v>78</v>
      </c>
      <c r="J355" t="s">
        <v>70</v>
      </c>
      <c r="K355" s="3">
        <v>4</v>
      </c>
      <c r="L355" s="3">
        <v>192.11</v>
      </c>
      <c r="M355" s="3">
        <v>768.44</v>
      </c>
      <c r="N355" s="3">
        <v>460.56</v>
      </c>
      <c r="O355" s="3">
        <v>307.88</v>
      </c>
      <c r="P355" s="3">
        <v>857.1</v>
      </c>
    </row>
    <row r="356" spans="1:16">
      <c r="A356" t="s">
        <v>640</v>
      </c>
      <c r="B356" s="2" t="s">
        <v>186</v>
      </c>
      <c r="C356" t="s">
        <v>108</v>
      </c>
      <c r="D356" t="s">
        <v>40</v>
      </c>
      <c r="E356" t="s">
        <v>73</v>
      </c>
      <c r="F356" t="s">
        <v>137</v>
      </c>
      <c r="G356" t="s">
        <v>41</v>
      </c>
      <c r="H356" t="s">
        <v>42</v>
      </c>
      <c r="I356" t="s">
        <v>42</v>
      </c>
      <c r="J356" t="s">
        <v>61</v>
      </c>
      <c r="K356" s="3">
        <v>20</v>
      </c>
      <c r="L356" s="3">
        <v>9.7100000000000009</v>
      </c>
      <c r="M356" s="3">
        <v>194.2</v>
      </c>
      <c r="N356" s="3">
        <v>58.61</v>
      </c>
      <c r="O356" s="3">
        <v>135.59</v>
      </c>
      <c r="P356" s="3">
        <v>214.9</v>
      </c>
    </row>
    <row r="357" spans="1:16">
      <c r="A357" t="s">
        <v>641</v>
      </c>
      <c r="B357" s="2" t="s">
        <v>202</v>
      </c>
      <c r="C357" t="s">
        <v>142</v>
      </c>
      <c r="D357" t="s">
        <v>33</v>
      </c>
      <c r="E357" t="s">
        <v>20</v>
      </c>
      <c r="F357" t="s">
        <v>50</v>
      </c>
      <c r="G357" t="s">
        <v>41</v>
      </c>
      <c r="H357" t="s">
        <v>51</v>
      </c>
      <c r="I357" t="s">
        <v>51</v>
      </c>
      <c r="J357" t="s">
        <v>29</v>
      </c>
      <c r="K357" s="3">
        <v>13</v>
      </c>
      <c r="L357" s="3">
        <v>21</v>
      </c>
      <c r="M357" s="3">
        <v>273</v>
      </c>
      <c r="N357" s="3">
        <v>132.47</v>
      </c>
      <c r="O357" s="3">
        <v>140.53</v>
      </c>
      <c r="P357" s="3">
        <v>277.75</v>
      </c>
    </row>
    <row r="358" spans="1:16">
      <c r="A358" t="s">
        <v>642</v>
      </c>
      <c r="B358" s="2" t="s">
        <v>643</v>
      </c>
      <c r="C358" t="s">
        <v>18</v>
      </c>
      <c r="D358" t="s">
        <v>19</v>
      </c>
      <c r="E358" t="s">
        <v>73</v>
      </c>
      <c r="F358" t="s">
        <v>83</v>
      </c>
      <c r="G358" t="s">
        <v>22</v>
      </c>
      <c r="H358" t="s">
        <v>95</v>
      </c>
      <c r="I358" t="s">
        <v>95</v>
      </c>
      <c r="J358" t="s">
        <v>89</v>
      </c>
      <c r="K358" s="3">
        <v>6</v>
      </c>
      <c r="L358" s="3">
        <v>712.6</v>
      </c>
      <c r="M358" s="3">
        <v>4275.6000000000004</v>
      </c>
      <c r="N358" s="3">
        <v>2996.36</v>
      </c>
      <c r="O358" s="3">
        <v>1279.24</v>
      </c>
      <c r="P358" s="3">
        <v>4997.87</v>
      </c>
    </row>
    <row r="359" spans="1:16">
      <c r="A359" t="s">
        <v>644</v>
      </c>
      <c r="B359" s="2" t="s">
        <v>245</v>
      </c>
      <c r="C359" t="s">
        <v>27</v>
      </c>
      <c r="D359" t="s">
        <v>19</v>
      </c>
      <c r="E359" t="s">
        <v>64</v>
      </c>
      <c r="F359" t="s">
        <v>105</v>
      </c>
      <c r="G359" t="s">
        <v>46</v>
      </c>
      <c r="H359" t="s">
        <v>66</v>
      </c>
      <c r="I359" t="s">
        <v>66</v>
      </c>
      <c r="J359" t="s">
        <v>84</v>
      </c>
      <c r="K359" s="3">
        <v>20</v>
      </c>
      <c r="L359" s="3">
        <v>274.52</v>
      </c>
      <c r="M359" s="3">
        <v>5490.4</v>
      </c>
      <c r="N359" s="3">
        <v>3049.22</v>
      </c>
      <c r="O359" s="3">
        <v>2441.1799999999998</v>
      </c>
      <c r="P359" s="3">
        <v>5982.13</v>
      </c>
    </row>
    <row r="360" spans="1:16">
      <c r="A360" t="s">
        <v>645</v>
      </c>
      <c r="B360" s="2" t="s">
        <v>646</v>
      </c>
      <c r="C360" t="s">
        <v>155</v>
      </c>
      <c r="D360" t="s">
        <v>82</v>
      </c>
      <c r="E360" t="s">
        <v>20</v>
      </c>
      <c r="F360" t="s">
        <v>50</v>
      </c>
      <c r="G360" t="s">
        <v>41</v>
      </c>
      <c r="H360" t="s">
        <v>86</v>
      </c>
      <c r="I360" t="s">
        <v>86</v>
      </c>
      <c r="J360" t="s">
        <v>57</v>
      </c>
      <c r="K360" s="3">
        <v>11</v>
      </c>
      <c r="L360" s="3">
        <v>16.43</v>
      </c>
      <c r="M360" s="3">
        <v>180.73</v>
      </c>
      <c r="N360" s="3">
        <v>83.71</v>
      </c>
      <c r="O360" s="3">
        <v>97.02</v>
      </c>
      <c r="P360" s="3">
        <v>208.55</v>
      </c>
    </row>
    <row r="361" spans="1:16">
      <c r="A361" t="s">
        <v>647</v>
      </c>
      <c r="B361" s="2" t="s">
        <v>139</v>
      </c>
      <c r="C361" t="s">
        <v>18</v>
      </c>
      <c r="D361" t="s">
        <v>19</v>
      </c>
      <c r="E361" t="s">
        <v>34</v>
      </c>
      <c r="F361" t="s">
        <v>35</v>
      </c>
      <c r="G361" t="s">
        <v>41</v>
      </c>
      <c r="H361" t="s">
        <v>69</v>
      </c>
      <c r="I361" t="s">
        <v>69</v>
      </c>
      <c r="J361" t="s">
        <v>70</v>
      </c>
      <c r="K361" s="3">
        <v>13</v>
      </c>
      <c r="L361" s="3">
        <v>11.96</v>
      </c>
      <c r="M361" s="3">
        <v>155.47999999999999</v>
      </c>
      <c r="N361" s="3">
        <v>50.17</v>
      </c>
      <c r="O361" s="3">
        <v>105.31</v>
      </c>
      <c r="P361" s="3">
        <v>177.13</v>
      </c>
    </row>
    <row r="362" spans="1:16">
      <c r="A362" t="s">
        <v>648</v>
      </c>
      <c r="B362" s="2" t="s">
        <v>107</v>
      </c>
      <c r="C362" t="s">
        <v>108</v>
      </c>
      <c r="D362" t="s">
        <v>40</v>
      </c>
      <c r="E362" t="s">
        <v>73</v>
      </c>
      <c r="F362" t="s">
        <v>74</v>
      </c>
      <c r="G362" t="s">
        <v>41</v>
      </c>
      <c r="H362" t="s">
        <v>69</v>
      </c>
      <c r="I362" t="s">
        <v>69</v>
      </c>
      <c r="J362" t="s">
        <v>52</v>
      </c>
      <c r="K362" s="3">
        <v>16</v>
      </c>
      <c r="L362" s="3">
        <v>10.98</v>
      </c>
      <c r="M362" s="3">
        <v>175.68</v>
      </c>
      <c r="N362" s="3">
        <v>62.85</v>
      </c>
      <c r="O362" s="3">
        <v>112.83</v>
      </c>
      <c r="P362" s="3">
        <v>169.67</v>
      </c>
    </row>
    <row r="363" spans="1:16">
      <c r="A363" t="s">
        <v>649</v>
      </c>
      <c r="B363" s="2" t="s">
        <v>116</v>
      </c>
      <c r="C363" t="s">
        <v>108</v>
      </c>
      <c r="D363" t="s">
        <v>40</v>
      </c>
      <c r="E363" t="s">
        <v>73</v>
      </c>
      <c r="F363" t="s">
        <v>74</v>
      </c>
      <c r="G363" t="s">
        <v>41</v>
      </c>
      <c r="H363" t="s">
        <v>69</v>
      </c>
      <c r="I363" t="s">
        <v>69</v>
      </c>
      <c r="J363" t="s">
        <v>89</v>
      </c>
      <c r="K363" s="3">
        <v>15</v>
      </c>
      <c r="L363" s="3">
        <v>10.99</v>
      </c>
      <c r="M363" s="3">
        <v>164.85</v>
      </c>
      <c r="N363" s="3">
        <v>61.81</v>
      </c>
      <c r="O363" s="3">
        <v>103.04</v>
      </c>
      <c r="P363" s="3">
        <v>165.98</v>
      </c>
    </row>
    <row r="364" spans="1:16">
      <c r="A364" t="s">
        <v>650</v>
      </c>
      <c r="B364" s="2" t="s">
        <v>651</v>
      </c>
      <c r="C364" t="s">
        <v>155</v>
      </c>
      <c r="D364" t="s">
        <v>82</v>
      </c>
      <c r="E364" t="s">
        <v>20</v>
      </c>
      <c r="F364" t="s">
        <v>50</v>
      </c>
      <c r="G364" t="s">
        <v>46</v>
      </c>
      <c r="H364" t="s">
        <v>75</v>
      </c>
      <c r="I364" t="s">
        <v>75</v>
      </c>
      <c r="J364" t="s">
        <v>24</v>
      </c>
      <c r="K364" s="3">
        <v>14</v>
      </c>
      <c r="L364" s="3">
        <v>386.62</v>
      </c>
      <c r="M364" s="3">
        <v>5412.68</v>
      </c>
      <c r="N364" s="3">
        <v>3738.05</v>
      </c>
      <c r="O364" s="3">
        <v>1674.63</v>
      </c>
      <c r="P364" s="3">
        <v>5641.01</v>
      </c>
    </row>
    <row r="365" spans="1:16">
      <c r="A365" t="s">
        <v>652</v>
      </c>
      <c r="B365" s="2" t="s">
        <v>118</v>
      </c>
      <c r="C365" t="s">
        <v>27</v>
      </c>
      <c r="D365" t="s">
        <v>19</v>
      </c>
      <c r="E365" t="s">
        <v>34</v>
      </c>
      <c r="F365" t="s">
        <v>123</v>
      </c>
      <c r="G365" t="s">
        <v>46</v>
      </c>
      <c r="H365" t="s">
        <v>66</v>
      </c>
      <c r="I365" t="s">
        <v>66</v>
      </c>
      <c r="J365" t="s">
        <v>89</v>
      </c>
      <c r="K365" s="3">
        <v>12</v>
      </c>
      <c r="L365" s="3">
        <v>283.42</v>
      </c>
      <c r="M365" s="3">
        <v>3401.04</v>
      </c>
      <c r="N365" s="3">
        <v>1982.46</v>
      </c>
      <c r="O365" s="3">
        <v>1418.58</v>
      </c>
      <c r="P365" s="3">
        <v>3862.92</v>
      </c>
    </row>
    <row r="366" spans="1:16">
      <c r="A366" t="s">
        <v>653</v>
      </c>
      <c r="B366" s="2" t="s">
        <v>654</v>
      </c>
      <c r="C366" t="s">
        <v>142</v>
      </c>
      <c r="D366" t="s">
        <v>33</v>
      </c>
      <c r="E366" t="s">
        <v>64</v>
      </c>
      <c r="F366" t="s">
        <v>145</v>
      </c>
      <c r="G366" t="s">
        <v>46</v>
      </c>
      <c r="H366" t="s">
        <v>66</v>
      </c>
      <c r="I366" t="s">
        <v>66</v>
      </c>
      <c r="J366" t="s">
        <v>52</v>
      </c>
      <c r="K366" s="3">
        <v>8</v>
      </c>
      <c r="L366" s="3">
        <v>239.93</v>
      </c>
      <c r="M366" s="3">
        <v>1919.44</v>
      </c>
      <c r="N366" s="3">
        <v>1216.28</v>
      </c>
      <c r="O366" s="3">
        <v>703.16</v>
      </c>
      <c r="P366" s="3">
        <v>1870.11</v>
      </c>
    </row>
    <row r="367" spans="1:16">
      <c r="A367" t="s">
        <v>655</v>
      </c>
      <c r="B367" s="2" t="s">
        <v>499</v>
      </c>
      <c r="C367" t="s">
        <v>81</v>
      </c>
      <c r="D367" t="s">
        <v>82</v>
      </c>
      <c r="E367" t="s">
        <v>34</v>
      </c>
      <c r="F367" t="s">
        <v>35</v>
      </c>
      <c r="G367" t="s">
        <v>22</v>
      </c>
      <c r="H367" t="s">
        <v>23</v>
      </c>
      <c r="I367" t="s">
        <v>23</v>
      </c>
      <c r="J367" t="s">
        <v>57</v>
      </c>
      <c r="K367" s="3">
        <v>14</v>
      </c>
      <c r="L367" s="3">
        <v>279.58</v>
      </c>
      <c r="M367" s="3">
        <v>3914.12</v>
      </c>
      <c r="N367" s="3">
        <v>2689.95</v>
      </c>
      <c r="O367" s="3">
        <v>1224.17</v>
      </c>
      <c r="P367" s="3">
        <v>4163.83</v>
      </c>
    </row>
    <row r="368" spans="1:16">
      <c r="A368" t="s">
        <v>656</v>
      </c>
      <c r="B368" s="2" t="s">
        <v>657</v>
      </c>
      <c r="C368" t="s">
        <v>39</v>
      </c>
      <c r="D368" t="s">
        <v>40</v>
      </c>
      <c r="E368" t="s">
        <v>64</v>
      </c>
      <c r="F368" t="s">
        <v>105</v>
      </c>
      <c r="G368" t="s">
        <v>41</v>
      </c>
      <c r="H368" t="s">
        <v>69</v>
      </c>
      <c r="I368" t="s">
        <v>69</v>
      </c>
      <c r="J368" t="s">
        <v>24</v>
      </c>
      <c r="K368" s="3">
        <v>4</v>
      </c>
      <c r="L368" s="3">
        <v>12.52</v>
      </c>
      <c r="M368" s="3">
        <v>50.08</v>
      </c>
      <c r="N368" s="3">
        <v>16.41</v>
      </c>
      <c r="O368" s="3">
        <v>33.67</v>
      </c>
      <c r="P368" s="3">
        <v>43.38</v>
      </c>
    </row>
    <row r="369" spans="1:16">
      <c r="A369" t="s">
        <v>658</v>
      </c>
      <c r="B369" s="2" t="s">
        <v>154</v>
      </c>
      <c r="C369" t="s">
        <v>155</v>
      </c>
      <c r="D369" t="s">
        <v>82</v>
      </c>
      <c r="E369" t="s">
        <v>73</v>
      </c>
      <c r="F369" t="s">
        <v>74</v>
      </c>
      <c r="G369" t="s">
        <v>22</v>
      </c>
      <c r="H369" t="s">
        <v>95</v>
      </c>
      <c r="I369" t="s">
        <v>95</v>
      </c>
      <c r="J369" t="s">
        <v>84</v>
      </c>
      <c r="K369" s="3">
        <v>14</v>
      </c>
      <c r="L369" s="3">
        <v>656.92</v>
      </c>
      <c r="M369" s="3">
        <v>9196.8799999999992</v>
      </c>
      <c r="N369" s="3">
        <v>7526.66</v>
      </c>
      <c r="O369" s="3">
        <v>1670.22</v>
      </c>
      <c r="P369" s="3">
        <v>9371.86</v>
      </c>
    </row>
    <row r="370" spans="1:16">
      <c r="A370" t="s">
        <v>659</v>
      </c>
      <c r="B370" s="2" t="s">
        <v>68</v>
      </c>
      <c r="C370" t="s">
        <v>55</v>
      </c>
      <c r="D370" t="s">
        <v>19</v>
      </c>
      <c r="E370" t="s">
        <v>73</v>
      </c>
      <c r="F370" t="s">
        <v>137</v>
      </c>
      <c r="G370" t="s">
        <v>22</v>
      </c>
      <c r="H370" t="s">
        <v>36</v>
      </c>
      <c r="I370" t="s">
        <v>36</v>
      </c>
      <c r="J370" t="s">
        <v>29</v>
      </c>
      <c r="K370" s="3">
        <v>20</v>
      </c>
      <c r="L370" s="3">
        <v>97.99</v>
      </c>
      <c r="M370" s="3">
        <v>1959.8</v>
      </c>
      <c r="N370" s="3">
        <v>1245.92</v>
      </c>
      <c r="O370" s="3">
        <v>713.88</v>
      </c>
      <c r="P370" s="3">
        <v>2011.61</v>
      </c>
    </row>
    <row r="371" spans="1:16">
      <c r="A371" t="s">
        <v>660</v>
      </c>
      <c r="B371" s="2" t="s">
        <v>278</v>
      </c>
      <c r="C371" t="s">
        <v>102</v>
      </c>
      <c r="D371" t="s">
        <v>82</v>
      </c>
      <c r="E371" t="s">
        <v>73</v>
      </c>
      <c r="F371" t="s">
        <v>128</v>
      </c>
      <c r="G371" t="s">
        <v>41</v>
      </c>
      <c r="H371" t="s">
        <v>42</v>
      </c>
      <c r="I371" t="s">
        <v>42</v>
      </c>
      <c r="J371" t="s">
        <v>52</v>
      </c>
      <c r="K371" s="3">
        <v>15</v>
      </c>
      <c r="L371" s="3">
        <v>9.85</v>
      </c>
      <c r="M371" s="3">
        <v>147.75</v>
      </c>
      <c r="N371" s="3">
        <v>46.37</v>
      </c>
      <c r="O371" s="3">
        <v>101.38</v>
      </c>
      <c r="P371" s="3">
        <v>132.72999999999999</v>
      </c>
    </row>
    <row r="372" spans="1:16">
      <c r="A372" t="s">
        <v>661</v>
      </c>
      <c r="B372" s="2" t="s">
        <v>662</v>
      </c>
      <c r="C372" t="s">
        <v>55</v>
      </c>
      <c r="D372" t="s">
        <v>19</v>
      </c>
      <c r="E372" t="s">
        <v>34</v>
      </c>
      <c r="F372" t="s">
        <v>123</v>
      </c>
      <c r="G372" t="s">
        <v>22</v>
      </c>
      <c r="H372" t="s">
        <v>23</v>
      </c>
      <c r="I372" t="s">
        <v>23</v>
      </c>
      <c r="J372" t="s">
        <v>84</v>
      </c>
      <c r="K372" s="3">
        <v>10</v>
      </c>
      <c r="L372" s="3">
        <v>286.95</v>
      </c>
      <c r="M372" s="3">
        <v>2869.5</v>
      </c>
      <c r="N372" s="3">
        <v>2037.32</v>
      </c>
      <c r="O372" s="3">
        <v>832.18</v>
      </c>
      <c r="P372" s="3">
        <v>3364.25</v>
      </c>
    </row>
    <row r="373" spans="1:16">
      <c r="A373" t="s">
        <v>663</v>
      </c>
      <c r="B373" s="2" t="s">
        <v>664</v>
      </c>
      <c r="C373" t="s">
        <v>55</v>
      </c>
      <c r="D373" t="s">
        <v>19</v>
      </c>
      <c r="E373" t="s">
        <v>73</v>
      </c>
      <c r="F373" t="s">
        <v>128</v>
      </c>
      <c r="G373" t="s">
        <v>46</v>
      </c>
      <c r="H373" t="s">
        <v>75</v>
      </c>
      <c r="I373" t="s">
        <v>75</v>
      </c>
      <c r="J373" t="s">
        <v>29</v>
      </c>
      <c r="K373" s="3">
        <v>18</v>
      </c>
      <c r="L373" s="3">
        <v>441.91</v>
      </c>
      <c r="M373" s="3">
        <v>7954.38</v>
      </c>
      <c r="N373" s="3">
        <v>5030.1099999999997</v>
      </c>
      <c r="O373" s="3">
        <v>2924.27</v>
      </c>
      <c r="P373" s="3">
        <v>8349.9</v>
      </c>
    </row>
    <row r="374" spans="1:16">
      <c r="A374" t="s">
        <v>665</v>
      </c>
      <c r="B374" s="2" t="s">
        <v>77</v>
      </c>
      <c r="C374" t="s">
        <v>18</v>
      </c>
      <c r="D374" t="s">
        <v>19</v>
      </c>
      <c r="E374" t="s">
        <v>34</v>
      </c>
      <c r="F374" t="s">
        <v>92</v>
      </c>
      <c r="G374" t="s">
        <v>22</v>
      </c>
      <c r="H374" t="s">
        <v>95</v>
      </c>
      <c r="I374" t="s">
        <v>95</v>
      </c>
      <c r="J374" t="s">
        <v>52</v>
      </c>
      <c r="K374" s="3">
        <v>5</v>
      </c>
      <c r="L374" s="3">
        <v>588.29</v>
      </c>
      <c r="M374" s="3">
        <v>2941.45</v>
      </c>
      <c r="N374" s="3">
        <v>2483.8000000000002</v>
      </c>
      <c r="O374" s="3">
        <v>457.65</v>
      </c>
      <c r="P374" s="3">
        <v>2558.5100000000002</v>
      </c>
    </row>
    <row r="375" spans="1:16">
      <c r="A375" t="s">
        <v>666</v>
      </c>
      <c r="B375" s="2" t="s">
        <v>474</v>
      </c>
      <c r="C375" t="s">
        <v>111</v>
      </c>
      <c r="D375" t="s">
        <v>40</v>
      </c>
      <c r="E375" t="s">
        <v>34</v>
      </c>
      <c r="F375" t="s">
        <v>123</v>
      </c>
      <c r="G375" t="s">
        <v>22</v>
      </c>
      <c r="H375" t="s">
        <v>60</v>
      </c>
      <c r="I375" t="s">
        <v>60</v>
      </c>
      <c r="J375" t="s">
        <v>24</v>
      </c>
      <c r="K375" s="3">
        <v>18</v>
      </c>
      <c r="L375" s="3">
        <v>51.74</v>
      </c>
      <c r="M375" s="3">
        <v>931.32</v>
      </c>
      <c r="N375" s="3">
        <v>514.74</v>
      </c>
      <c r="O375" s="3">
        <v>416.58</v>
      </c>
      <c r="P375" s="3">
        <v>1056.96</v>
      </c>
    </row>
    <row r="376" spans="1:16">
      <c r="A376" t="s">
        <v>667</v>
      </c>
      <c r="B376" s="2" t="s">
        <v>668</v>
      </c>
      <c r="C376" t="s">
        <v>27</v>
      </c>
      <c r="D376" t="s">
        <v>19</v>
      </c>
      <c r="E376" t="s">
        <v>73</v>
      </c>
      <c r="F376" t="s">
        <v>74</v>
      </c>
      <c r="G376" t="s">
        <v>22</v>
      </c>
      <c r="H376" t="s">
        <v>60</v>
      </c>
      <c r="I376" t="s">
        <v>60</v>
      </c>
      <c r="J376" t="s">
        <v>61</v>
      </c>
      <c r="K376" s="3">
        <v>2</v>
      </c>
      <c r="L376" s="3">
        <v>57.12</v>
      </c>
      <c r="M376" s="3">
        <v>114.24</v>
      </c>
      <c r="N376" s="3">
        <v>62.56</v>
      </c>
      <c r="O376" s="3">
        <v>51.68</v>
      </c>
      <c r="P376" s="3">
        <v>112.6</v>
      </c>
    </row>
    <row r="377" spans="1:16">
      <c r="A377" t="s">
        <v>669</v>
      </c>
      <c r="B377" s="2" t="s">
        <v>284</v>
      </c>
      <c r="C377" t="s">
        <v>81</v>
      </c>
      <c r="D377" t="s">
        <v>82</v>
      </c>
      <c r="E377" t="s">
        <v>20</v>
      </c>
      <c r="F377" t="s">
        <v>21</v>
      </c>
      <c r="G377" t="s">
        <v>22</v>
      </c>
      <c r="H377" t="s">
        <v>36</v>
      </c>
      <c r="I377" t="s">
        <v>36</v>
      </c>
      <c r="J377" t="s">
        <v>57</v>
      </c>
      <c r="K377" s="3">
        <v>12</v>
      </c>
      <c r="L377" s="3">
        <v>101.27</v>
      </c>
      <c r="M377" s="3">
        <v>1215.24</v>
      </c>
      <c r="N377" s="3">
        <v>738.37</v>
      </c>
      <c r="O377" s="3">
        <v>476.87</v>
      </c>
      <c r="P377" s="3">
        <v>1265.45</v>
      </c>
    </row>
    <row r="378" spans="1:16">
      <c r="A378" t="s">
        <v>670</v>
      </c>
      <c r="B378" s="2" t="s">
        <v>197</v>
      </c>
      <c r="C378" t="s">
        <v>55</v>
      </c>
      <c r="D378" t="s">
        <v>19</v>
      </c>
      <c r="E378" t="s">
        <v>34</v>
      </c>
      <c r="F378" t="s">
        <v>92</v>
      </c>
      <c r="G378" t="s">
        <v>22</v>
      </c>
      <c r="H378" t="s">
        <v>95</v>
      </c>
      <c r="I378" t="s">
        <v>95</v>
      </c>
      <c r="J378" t="s">
        <v>70</v>
      </c>
      <c r="K378" s="3">
        <v>6</v>
      </c>
      <c r="L378" s="3">
        <v>609.30999999999995</v>
      </c>
      <c r="M378" s="3">
        <v>3655.86</v>
      </c>
      <c r="N378" s="3">
        <v>3193.34</v>
      </c>
      <c r="O378" s="3">
        <v>462.52</v>
      </c>
      <c r="P378" s="3">
        <v>3260.2</v>
      </c>
    </row>
    <row r="379" spans="1:16">
      <c r="A379" t="s">
        <v>671</v>
      </c>
      <c r="B379" s="2" t="s">
        <v>177</v>
      </c>
      <c r="C379" t="s">
        <v>102</v>
      </c>
      <c r="D379" t="s">
        <v>82</v>
      </c>
      <c r="E379" t="s">
        <v>34</v>
      </c>
      <c r="F379" t="s">
        <v>123</v>
      </c>
      <c r="G379" t="s">
        <v>22</v>
      </c>
      <c r="H379" t="s">
        <v>60</v>
      </c>
      <c r="I379" t="s">
        <v>60</v>
      </c>
      <c r="J379" t="s">
        <v>84</v>
      </c>
      <c r="K379" s="3">
        <v>15</v>
      </c>
      <c r="L379" s="3">
        <v>49.56</v>
      </c>
      <c r="M379" s="3">
        <v>743.4</v>
      </c>
      <c r="N379" s="3">
        <v>459.44</v>
      </c>
      <c r="O379" s="3">
        <v>283.95999999999998</v>
      </c>
      <c r="P379" s="3">
        <v>672.17</v>
      </c>
    </row>
    <row r="380" spans="1:16">
      <c r="A380" t="s">
        <v>672</v>
      </c>
      <c r="B380" s="2" t="s">
        <v>673</v>
      </c>
      <c r="C380" t="s">
        <v>142</v>
      </c>
      <c r="D380" t="s">
        <v>33</v>
      </c>
      <c r="E380" t="s">
        <v>20</v>
      </c>
      <c r="F380" t="s">
        <v>21</v>
      </c>
      <c r="G380" t="s">
        <v>41</v>
      </c>
      <c r="H380" t="s">
        <v>42</v>
      </c>
      <c r="I380" t="s">
        <v>42</v>
      </c>
      <c r="J380" t="s">
        <v>24</v>
      </c>
      <c r="K380" s="3">
        <v>11</v>
      </c>
      <c r="L380" s="3">
        <v>8.23</v>
      </c>
      <c r="M380" s="3">
        <v>90.53</v>
      </c>
      <c r="N380" s="3">
        <v>33.08</v>
      </c>
      <c r="O380" s="3">
        <v>57.45</v>
      </c>
      <c r="P380" s="3">
        <v>107.27</v>
      </c>
    </row>
    <row r="381" spans="1:16">
      <c r="A381" t="s">
        <v>674</v>
      </c>
      <c r="B381" s="2" t="s">
        <v>91</v>
      </c>
      <c r="C381" t="s">
        <v>81</v>
      </c>
      <c r="D381" t="s">
        <v>82</v>
      </c>
      <c r="E381" t="s">
        <v>64</v>
      </c>
      <c r="F381" t="s">
        <v>65</v>
      </c>
      <c r="G381" t="s">
        <v>22</v>
      </c>
      <c r="H381" t="s">
        <v>60</v>
      </c>
      <c r="I381" t="s">
        <v>60</v>
      </c>
      <c r="J381" t="s">
        <v>52</v>
      </c>
      <c r="K381" s="3">
        <v>7</v>
      </c>
      <c r="L381" s="3">
        <v>51.93</v>
      </c>
      <c r="M381" s="3">
        <v>363.51</v>
      </c>
      <c r="N381" s="3">
        <v>213.43</v>
      </c>
      <c r="O381" s="3">
        <v>150.08000000000001</v>
      </c>
      <c r="P381" s="3">
        <v>351.1</v>
      </c>
    </row>
    <row r="382" spans="1:16">
      <c r="A382" t="s">
        <v>675</v>
      </c>
      <c r="B382" s="2" t="s">
        <v>189</v>
      </c>
      <c r="C382" t="s">
        <v>32</v>
      </c>
      <c r="D382" t="s">
        <v>33</v>
      </c>
      <c r="E382" t="s">
        <v>64</v>
      </c>
      <c r="F382" t="s">
        <v>103</v>
      </c>
      <c r="G382" t="s">
        <v>22</v>
      </c>
      <c r="H382" t="s">
        <v>60</v>
      </c>
      <c r="I382" t="s">
        <v>60</v>
      </c>
      <c r="J382" t="s">
        <v>70</v>
      </c>
      <c r="K382" s="3">
        <v>20</v>
      </c>
      <c r="L382" s="3">
        <v>54.4</v>
      </c>
      <c r="M382" s="3">
        <v>1088</v>
      </c>
      <c r="N382" s="3">
        <v>625.12</v>
      </c>
      <c r="O382" s="3">
        <v>462.88</v>
      </c>
      <c r="P382" s="3">
        <v>1017.65</v>
      </c>
    </row>
    <row r="383" spans="1:16">
      <c r="A383" t="s">
        <v>676</v>
      </c>
      <c r="B383" s="2" t="s">
        <v>59</v>
      </c>
      <c r="C383" t="s">
        <v>18</v>
      </c>
      <c r="D383" t="s">
        <v>19</v>
      </c>
      <c r="E383" t="s">
        <v>64</v>
      </c>
      <c r="F383" t="s">
        <v>103</v>
      </c>
      <c r="G383" t="s">
        <v>41</v>
      </c>
      <c r="H383" t="s">
        <v>42</v>
      </c>
      <c r="I383" t="s">
        <v>42</v>
      </c>
      <c r="J383" t="s">
        <v>61</v>
      </c>
      <c r="K383" s="3">
        <v>10</v>
      </c>
      <c r="L383" s="3">
        <v>9.07</v>
      </c>
      <c r="M383" s="3">
        <v>90.7</v>
      </c>
      <c r="N383" s="3">
        <v>28.57</v>
      </c>
      <c r="O383" s="3">
        <v>62.13</v>
      </c>
      <c r="P383" s="3">
        <v>93.5</v>
      </c>
    </row>
    <row r="384" spans="1:16">
      <c r="A384" t="s">
        <v>677</v>
      </c>
      <c r="B384" s="2" t="s">
        <v>678</v>
      </c>
      <c r="C384" t="s">
        <v>81</v>
      </c>
      <c r="D384" t="s">
        <v>82</v>
      </c>
      <c r="E384" t="s">
        <v>64</v>
      </c>
      <c r="F384" t="s">
        <v>65</v>
      </c>
      <c r="G384" t="s">
        <v>22</v>
      </c>
      <c r="H384" t="s">
        <v>60</v>
      </c>
      <c r="I384" t="s">
        <v>60</v>
      </c>
      <c r="J384" t="s">
        <v>24</v>
      </c>
      <c r="K384" s="3">
        <v>7</v>
      </c>
      <c r="L384" s="3">
        <v>59.38</v>
      </c>
      <c r="M384" s="3">
        <v>415.66</v>
      </c>
      <c r="N384" s="3">
        <v>206.23</v>
      </c>
      <c r="O384" s="3">
        <v>209.43</v>
      </c>
      <c r="P384" s="3">
        <v>365.29</v>
      </c>
    </row>
    <row r="385" spans="1:16">
      <c r="A385" t="s">
        <v>679</v>
      </c>
      <c r="B385" s="2" t="s">
        <v>292</v>
      </c>
      <c r="C385" t="s">
        <v>111</v>
      </c>
      <c r="D385" t="s">
        <v>40</v>
      </c>
      <c r="E385" t="s">
        <v>20</v>
      </c>
      <c r="F385" t="s">
        <v>28</v>
      </c>
      <c r="G385" t="s">
        <v>22</v>
      </c>
      <c r="H385" t="s">
        <v>23</v>
      </c>
      <c r="I385" t="s">
        <v>23</v>
      </c>
      <c r="J385" t="s">
        <v>29</v>
      </c>
      <c r="K385" s="3">
        <v>14</v>
      </c>
      <c r="L385" s="3">
        <v>300.44</v>
      </c>
      <c r="M385" s="3">
        <v>4206.16</v>
      </c>
      <c r="N385" s="3">
        <v>2893.99</v>
      </c>
      <c r="O385" s="3">
        <v>1312.17</v>
      </c>
      <c r="P385" s="3">
        <v>3877.88</v>
      </c>
    </row>
    <row r="386" spans="1:16">
      <c r="A386" t="s">
        <v>680</v>
      </c>
      <c r="B386" s="2" t="s">
        <v>217</v>
      </c>
      <c r="C386" t="s">
        <v>18</v>
      </c>
      <c r="D386" t="s">
        <v>19</v>
      </c>
      <c r="E386" t="s">
        <v>20</v>
      </c>
      <c r="F386" t="s">
        <v>56</v>
      </c>
      <c r="G386" t="s">
        <v>22</v>
      </c>
      <c r="H386" t="s">
        <v>36</v>
      </c>
      <c r="I386" t="s">
        <v>36</v>
      </c>
      <c r="J386" t="s">
        <v>52</v>
      </c>
      <c r="K386" s="3">
        <v>2</v>
      </c>
      <c r="L386" s="3">
        <v>99.12</v>
      </c>
      <c r="M386" s="3">
        <v>198.24</v>
      </c>
      <c r="N386" s="3">
        <v>115.05</v>
      </c>
      <c r="O386" s="3">
        <v>83.19</v>
      </c>
      <c r="P386" s="3">
        <v>172.27</v>
      </c>
    </row>
    <row r="387" spans="1:16">
      <c r="A387" t="s">
        <v>681</v>
      </c>
      <c r="B387" s="2" t="s">
        <v>638</v>
      </c>
      <c r="C387" t="s">
        <v>81</v>
      </c>
      <c r="D387" t="s">
        <v>82</v>
      </c>
      <c r="E387" t="s">
        <v>73</v>
      </c>
      <c r="F387" t="s">
        <v>128</v>
      </c>
      <c r="G387" t="s">
        <v>41</v>
      </c>
      <c r="H387" t="s">
        <v>51</v>
      </c>
      <c r="I387" t="s">
        <v>51</v>
      </c>
      <c r="J387" t="s">
        <v>24</v>
      </c>
      <c r="K387" s="3">
        <v>13</v>
      </c>
      <c r="L387" s="3">
        <v>21.78</v>
      </c>
      <c r="M387" s="3">
        <v>283.14</v>
      </c>
      <c r="N387" s="3">
        <v>129.13</v>
      </c>
      <c r="O387" s="3">
        <v>154.01</v>
      </c>
      <c r="P387" s="3">
        <v>242.34</v>
      </c>
    </row>
    <row r="388" spans="1:16">
      <c r="A388" t="s">
        <v>682</v>
      </c>
      <c r="B388" s="2" t="s">
        <v>132</v>
      </c>
      <c r="C388" t="s">
        <v>81</v>
      </c>
      <c r="D388" t="s">
        <v>82</v>
      </c>
      <c r="E388" t="s">
        <v>20</v>
      </c>
      <c r="F388" t="s">
        <v>28</v>
      </c>
      <c r="G388" t="s">
        <v>46</v>
      </c>
      <c r="H388" t="s">
        <v>75</v>
      </c>
      <c r="I388" t="s">
        <v>75</v>
      </c>
      <c r="J388" t="s">
        <v>52</v>
      </c>
      <c r="K388" s="3">
        <v>17</v>
      </c>
      <c r="L388" s="3">
        <v>408.05</v>
      </c>
      <c r="M388" s="3">
        <v>6936.85</v>
      </c>
      <c r="N388" s="3">
        <v>4572.5200000000004</v>
      </c>
      <c r="O388" s="3">
        <v>2364.33</v>
      </c>
      <c r="P388" s="3">
        <v>7806.82</v>
      </c>
    </row>
    <row r="389" spans="1:16">
      <c r="A389" t="s">
        <v>683</v>
      </c>
      <c r="B389" s="2" t="s">
        <v>684</v>
      </c>
      <c r="C389" t="s">
        <v>27</v>
      </c>
      <c r="D389" t="s">
        <v>19</v>
      </c>
      <c r="E389" t="s">
        <v>34</v>
      </c>
      <c r="F389" t="s">
        <v>92</v>
      </c>
      <c r="G389" t="s">
        <v>41</v>
      </c>
      <c r="H389" t="s">
        <v>51</v>
      </c>
      <c r="I389" t="s">
        <v>51</v>
      </c>
      <c r="J389" t="s">
        <v>84</v>
      </c>
      <c r="K389" s="3">
        <v>1</v>
      </c>
      <c r="L389" s="3">
        <v>23.42</v>
      </c>
      <c r="M389" s="3">
        <v>23.42</v>
      </c>
      <c r="N389" s="3">
        <v>9.9700000000000006</v>
      </c>
      <c r="O389" s="3">
        <v>13.45</v>
      </c>
      <c r="P389" s="3">
        <v>24.28</v>
      </c>
    </row>
    <row r="390" spans="1:16">
      <c r="A390" t="s">
        <v>685</v>
      </c>
      <c r="B390" s="2" t="s">
        <v>465</v>
      </c>
      <c r="C390" t="s">
        <v>55</v>
      </c>
      <c r="D390" t="s">
        <v>19</v>
      </c>
      <c r="E390" t="s">
        <v>34</v>
      </c>
      <c r="F390" t="s">
        <v>123</v>
      </c>
      <c r="G390" t="s">
        <v>41</v>
      </c>
      <c r="H390" t="s">
        <v>42</v>
      </c>
      <c r="I390" t="s">
        <v>42</v>
      </c>
      <c r="J390" t="s">
        <v>24</v>
      </c>
      <c r="K390" s="3">
        <v>1</v>
      </c>
      <c r="L390" s="3">
        <v>9.82</v>
      </c>
      <c r="M390" s="3">
        <v>9.82</v>
      </c>
      <c r="N390" s="3">
        <v>3.02</v>
      </c>
      <c r="O390" s="3">
        <v>6.8</v>
      </c>
      <c r="P390" s="3">
        <v>10.25</v>
      </c>
    </row>
    <row r="391" spans="1:16">
      <c r="A391" t="s">
        <v>686</v>
      </c>
      <c r="B391" s="2" t="s">
        <v>514</v>
      </c>
      <c r="C391" t="s">
        <v>108</v>
      </c>
      <c r="D391" t="s">
        <v>40</v>
      </c>
      <c r="E391" t="s">
        <v>64</v>
      </c>
      <c r="F391" t="s">
        <v>103</v>
      </c>
      <c r="G391" t="s">
        <v>41</v>
      </c>
      <c r="H391" t="s">
        <v>69</v>
      </c>
      <c r="I391" t="s">
        <v>69</v>
      </c>
      <c r="J391" t="s">
        <v>84</v>
      </c>
      <c r="K391" s="3">
        <v>12</v>
      </c>
      <c r="L391" s="3">
        <v>12.6</v>
      </c>
      <c r="M391" s="3">
        <v>151.19999999999999</v>
      </c>
      <c r="N391" s="3">
        <v>46.62</v>
      </c>
      <c r="O391" s="3">
        <v>104.58</v>
      </c>
      <c r="P391" s="3">
        <v>176.45</v>
      </c>
    </row>
    <row r="392" spans="1:16">
      <c r="A392" t="s">
        <v>687</v>
      </c>
      <c r="B392" s="2" t="s">
        <v>538</v>
      </c>
      <c r="C392" t="s">
        <v>111</v>
      </c>
      <c r="D392" t="s">
        <v>40</v>
      </c>
      <c r="E392" t="s">
        <v>73</v>
      </c>
      <c r="F392" t="s">
        <v>128</v>
      </c>
      <c r="G392" t="s">
        <v>22</v>
      </c>
      <c r="H392" t="s">
        <v>95</v>
      </c>
      <c r="I392" t="s">
        <v>95</v>
      </c>
      <c r="J392" t="s">
        <v>89</v>
      </c>
      <c r="K392" s="3">
        <v>19</v>
      </c>
      <c r="L392" s="3">
        <v>608.58000000000004</v>
      </c>
      <c r="M392" s="3">
        <v>11563.02</v>
      </c>
      <c r="N392" s="3">
        <v>10228.02</v>
      </c>
      <c r="O392" s="3">
        <v>1335</v>
      </c>
      <c r="P392" s="3">
        <v>13274.18</v>
      </c>
    </row>
    <row r="393" spans="1:16">
      <c r="A393" t="s">
        <v>688</v>
      </c>
      <c r="B393" s="2" t="s">
        <v>408</v>
      </c>
      <c r="C393" t="s">
        <v>18</v>
      </c>
      <c r="D393" t="s">
        <v>19</v>
      </c>
      <c r="E393" t="s">
        <v>20</v>
      </c>
      <c r="F393" t="s">
        <v>21</v>
      </c>
      <c r="G393" t="s">
        <v>46</v>
      </c>
      <c r="H393" t="s">
        <v>75</v>
      </c>
      <c r="I393" t="s">
        <v>75</v>
      </c>
      <c r="J393" t="s">
        <v>61</v>
      </c>
      <c r="K393" s="3">
        <v>7</v>
      </c>
      <c r="L393" s="3">
        <v>399.06</v>
      </c>
      <c r="M393" s="3">
        <v>2793.42</v>
      </c>
      <c r="N393" s="3">
        <v>2004.22</v>
      </c>
      <c r="O393" s="3">
        <v>789.2</v>
      </c>
      <c r="P393" s="3">
        <v>2850.73</v>
      </c>
    </row>
    <row r="394" spans="1:16">
      <c r="A394" t="s">
        <v>689</v>
      </c>
      <c r="B394" s="2" t="s">
        <v>282</v>
      </c>
      <c r="C394" t="s">
        <v>142</v>
      </c>
      <c r="D394" t="s">
        <v>33</v>
      </c>
      <c r="E394" t="s">
        <v>73</v>
      </c>
      <c r="F394" t="s">
        <v>83</v>
      </c>
      <c r="G394" t="s">
        <v>41</v>
      </c>
      <c r="H394" t="s">
        <v>86</v>
      </c>
      <c r="I394" t="s">
        <v>86</v>
      </c>
      <c r="J394" t="s">
        <v>52</v>
      </c>
      <c r="K394" s="3">
        <v>11</v>
      </c>
      <c r="L394" s="3">
        <v>19.440000000000001</v>
      </c>
      <c r="M394" s="3">
        <v>213.84</v>
      </c>
      <c r="N394" s="3">
        <v>87.88</v>
      </c>
      <c r="O394" s="3">
        <v>125.96</v>
      </c>
      <c r="P394" s="3">
        <v>206.34</v>
      </c>
    </row>
    <row r="395" spans="1:16">
      <c r="A395" t="s">
        <v>690</v>
      </c>
      <c r="B395" s="2" t="s">
        <v>68</v>
      </c>
      <c r="C395" t="s">
        <v>55</v>
      </c>
      <c r="D395" t="s">
        <v>19</v>
      </c>
      <c r="E395" t="s">
        <v>73</v>
      </c>
      <c r="F395" t="s">
        <v>128</v>
      </c>
      <c r="G395" t="s">
        <v>41</v>
      </c>
      <c r="H395" t="s">
        <v>51</v>
      </c>
      <c r="I395" t="s">
        <v>51</v>
      </c>
      <c r="J395" t="s">
        <v>29</v>
      </c>
      <c r="K395" s="3">
        <v>11</v>
      </c>
      <c r="L395" s="3">
        <v>20.54</v>
      </c>
      <c r="M395" s="3">
        <v>225.94</v>
      </c>
      <c r="N395" s="3">
        <v>107.21</v>
      </c>
      <c r="O395" s="3">
        <v>118.73</v>
      </c>
      <c r="P395" s="3">
        <v>209.57</v>
      </c>
    </row>
    <row r="396" spans="1:16">
      <c r="A396" t="s">
        <v>691</v>
      </c>
      <c r="B396" s="2" t="s">
        <v>692</v>
      </c>
      <c r="C396" t="s">
        <v>114</v>
      </c>
      <c r="D396" t="s">
        <v>33</v>
      </c>
      <c r="E396" t="s">
        <v>34</v>
      </c>
      <c r="F396" t="s">
        <v>123</v>
      </c>
      <c r="G396" t="s">
        <v>46</v>
      </c>
      <c r="H396" t="s">
        <v>78</v>
      </c>
      <c r="I396" t="s">
        <v>78</v>
      </c>
      <c r="J396" t="s">
        <v>89</v>
      </c>
      <c r="K396" s="3">
        <v>15</v>
      </c>
      <c r="L396" s="3">
        <v>209.74</v>
      </c>
      <c r="M396" s="3">
        <v>3146.1</v>
      </c>
      <c r="N396" s="3">
        <v>1790.16</v>
      </c>
      <c r="O396" s="3">
        <v>1355.94</v>
      </c>
      <c r="P396" s="3">
        <v>3527.31</v>
      </c>
    </row>
    <row r="397" spans="1:16">
      <c r="A397" t="s">
        <v>693</v>
      </c>
      <c r="B397" s="2" t="s">
        <v>294</v>
      </c>
      <c r="C397" t="s">
        <v>81</v>
      </c>
      <c r="D397" t="s">
        <v>82</v>
      </c>
      <c r="E397" t="s">
        <v>73</v>
      </c>
      <c r="F397" t="s">
        <v>83</v>
      </c>
      <c r="G397" t="s">
        <v>41</v>
      </c>
      <c r="H397" t="s">
        <v>69</v>
      </c>
      <c r="I397" t="s">
        <v>69</v>
      </c>
      <c r="J397" t="s">
        <v>24</v>
      </c>
      <c r="K397" s="3">
        <v>7</v>
      </c>
      <c r="L397" s="3">
        <v>12.94</v>
      </c>
      <c r="M397" s="3">
        <v>90.58</v>
      </c>
      <c r="N397" s="3">
        <v>27.34</v>
      </c>
      <c r="O397" s="3">
        <v>63.24</v>
      </c>
      <c r="P397" s="3">
        <v>105.09</v>
      </c>
    </row>
    <row r="398" spans="1:16">
      <c r="A398" t="s">
        <v>694</v>
      </c>
      <c r="B398" s="2" t="s">
        <v>579</v>
      </c>
      <c r="C398" t="s">
        <v>55</v>
      </c>
      <c r="D398" t="s">
        <v>19</v>
      </c>
      <c r="E398" t="s">
        <v>20</v>
      </c>
      <c r="F398" t="s">
        <v>28</v>
      </c>
      <c r="G398" t="s">
        <v>46</v>
      </c>
      <c r="H398" t="s">
        <v>66</v>
      </c>
      <c r="I398" t="s">
        <v>66</v>
      </c>
      <c r="J398" t="s">
        <v>89</v>
      </c>
      <c r="K398" s="3">
        <v>7</v>
      </c>
      <c r="L398" s="3">
        <v>274</v>
      </c>
      <c r="M398" s="3">
        <v>1918</v>
      </c>
      <c r="N398" s="3">
        <v>1165.51</v>
      </c>
      <c r="O398" s="3">
        <v>752.49</v>
      </c>
      <c r="P398" s="3">
        <v>2000.59</v>
      </c>
    </row>
    <row r="399" spans="1:16">
      <c r="A399" t="s">
        <v>695</v>
      </c>
      <c r="B399" s="2" t="s">
        <v>696</v>
      </c>
      <c r="C399" t="s">
        <v>18</v>
      </c>
      <c r="D399" t="s">
        <v>19</v>
      </c>
      <c r="E399" t="s">
        <v>73</v>
      </c>
      <c r="F399" t="s">
        <v>128</v>
      </c>
      <c r="G399" t="s">
        <v>41</v>
      </c>
      <c r="H399" t="s">
        <v>69</v>
      </c>
      <c r="I399" t="s">
        <v>69</v>
      </c>
      <c r="J399" t="s">
        <v>89</v>
      </c>
      <c r="K399" s="3">
        <v>19</v>
      </c>
      <c r="L399" s="3">
        <v>12.94</v>
      </c>
      <c r="M399" s="3">
        <v>245.86</v>
      </c>
      <c r="N399" s="3">
        <v>77.77</v>
      </c>
      <c r="O399" s="3">
        <v>168.09</v>
      </c>
      <c r="P399" s="3">
        <v>234.02</v>
      </c>
    </row>
    <row r="400" spans="1:16">
      <c r="A400" t="s">
        <v>697</v>
      </c>
      <c r="B400" s="2" t="s">
        <v>499</v>
      </c>
      <c r="C400" t="s">
        <v>81</v>
      </c>
      <c r="D400" t="s">
        <v>82</v>
      </c>
      <c r="E400" t="s">
        <v>20</v>
      </c>
      <c r="F400" t="s">
        <v>50</v>
      </c>
      <c r="G400" t="s">
        <v>41</v>
      </c>
      <c r="H400" t="s">
        <v>86</v>
      </c>
      <c r="I400" t="s">
        <v>86</v>
      </c>
      <c r="J400" t="s">
        <v>84</v>
      </c>
      <c r="K400" s="3">
        <v>20</v>
      </c>
      <c r="L400" s="3">
        <v>18.59</v>
      </c>
      <c r="M400" s="3">
        <v>371.8</v>
      </c>
      <c r="N400" s="3">
        <v>162.94999999999999</v>
      </c>
      <c r="O400" s="3">
        <v>208.85</v>
      </c>
      <c r="P400" s="3">
        <v>414.57</v>
      </c>
    </row>
    <row r="401" spans="1:16">
      <c r="A401" t="s">
        <v>698</v>
      </c>
      <c r="B401" s="2" t="s">
        <v>406</v>
      </c>
      <c r="C401" t="s">
        <v>155</v>
      </c>
      <c r="D401" t="s">
        <v>82</v>
      </c>
      <c r="E401" t="s">
        <v>73</v>
      </c>
      <c r="F401" t="s">
        <v>137</v>
      </c>
      <c r="G401" t="s">
        <v>46</v>
      </c>
      <c r="H401" t="s">
        <v>66</v>
      </c>
      <c r="I401" t="s">
        <v>66</v>
      </c>
      <c r="J401" t="s">
        <v>24</v>
      </c>
      <c r="K401" s="3">
        <v>2</v>
      </c>
      <c r="L401" s="3">
        <v>282.83999999999997</v>
      </c>
      <c r="M401" s="3">
        <v>565.67999999999995</v>
      </c>
      <c r="N401" s="3">
        <v>311</v>
      </c>
      <c r="O401" s="3">
        <v>254.68</v>
      </c>
      <c r="P401" s="3">
        <v>577.38</v>
      </c>
    </row>
    <row r="402" spans="1:16">
      <c r="A402" t="s">
        <v>699</v>
      </c>
      <c r="B402" s="2" t="s">
        <v>443</v>
      </c>
      <c r="C402" t="s">
        <v>114</v>
      </c>
      <c r="D402" t="s">
        <v>33</v>
      </c>
      <c r="E402" t="s">
        <v>73</v>
      </c>
      <c r="F402" t="s">
        <v>83</v>
      </c>
      <c r="G402" t="s">
        <v>46</v>
      </c>
      <c r="H402" t="s">
        <v>47</v>
      </c>
      <c r="I402" t="s">
        <v>47</v>
      </c>
      <c r="J402" t="s">
        <v>70</v>
      </c>
      <c r="K402" s="3">
        <v>12</v>
      </c>
      <c r="L402" s="3">
        <v>311.11</v>
      </c>
      <c r="M402" s="3">
        <v>3733.32</v>
      </c>
      <c r="N402" s="3">
        <v>2254.4899999999998</v>
      </c>
      <c r="O402" s="3">
        <v>1478.83</v>
      </c>
      <c r="P402" s="3">
        <v>4372.71</v>
      </c>
    </row>
    <row r="403" spans="1:16">
      <c r="A403" t="s">
        <v>700</v>
      </c>
      <c r="B403" s="2" t="s">
        <v>107</v>
      </c>
      <c r="C403" t="s">
        <v>108</v>
      </c>
      <c r="D403" t="s">
        <v>40</v>
      </c>
      <c r="E403" t="s">
        <v>34</v>
      </c>
      <c r="F403" t="s">
        <v>35</v>
      </c>
      <c r="G403" t="s">
        <v>46</v>
      </c>
      <c r="H403" t="s">
        <v>78</v>
      </c>
      <c r="I403" t="s">
        <v>78</v>
      </c>
      <c r="J403" t="s">
        <v>29</v>
      </c>
      <c r="K403" s="3">
        <v>9</v>
      </c>
      <c r="L403" s="3">
        <v>208.06</v>
      </c>
      <c r="M403" s="3">
        <v>1872.54</v>
      </c>
      <c r="N403" s="3">
        <v>1088.49</v>
      </c>
      <c r="O403" s="3">
        <v>784.05</v>
      </c>
      <c r="P403" s="3">
        <v>1965.34</v>
      </c>
    </row>
    <row r="404" spans="1:16">
      <c r="A404" t="s">
        <v>701</v>
      </c>
      <c r="B404" s="2" t="s">
        <v>471</v>
      </c>
      <c r="C404" t="s">
        <v>18</v>
      </c>
      <c r="D404" t="s">
        <v>19</v>
      </c>
      <c r="E404" t="s">
        <v>34</v>
      </c>
      <c r="F404" t="s">
        <v>35</v>
      </c>
      <c r="G404" t="s">
        <v>46</v>
      </c>
      <c r="H404" t="s">
        <v>78</v>
      </c>
      <c r="I404" t="s">
        <v>78</v>
      </c>
      <c r="J404" t="s">
        <v>61</v>
      </c>
      <c r="K404" s="3">
        <v>8</v>
      </c>
      <c r="L404" s="3">
        <v>190.18</v>
      </c>
      <c r="M404" s="3">
        <v>1521.44</v>
      </c>
      <c r="N404" s="3">
        <v>961.57</v>
      </c>
      <c r="O404" s="3">
        <v>559.87</v>
      </c>
      <c r="P404" s="3">
        <v>1481.14</v>
      </c>
    </row>
    <row r="405" spans="1:16">
      <c r="A405" t="s">
        <v>702</v>
      </c>
      <c r="B405" s="2" t="s">
        <v>363</v>
      </c>
      <c r="C405" t="s">
        <v>155</v>
      </c>
      <c r="D405" t="s">
        <v>82</v>
      </c>
      <c r="E405" t="s">
        <v>64</v>
      </c>
      <c r="F405" t="s">
        <v>103</v>
      </c>
      <c r="G405" t="s">
        <v>46</v>
      </c>
      <c r="H405" t="s">
        <v>47</v>
      </c>
      <c r="I405" t="s">
        <v>47</v>
      </c>
      <c r="J405" t="s">
        <v>57</v>
      </c>
      <c r="K405" s="3">
        <v>8</v>
      </c>
      <c r="L405" s="3">
        <v>306.27</v>
      </c>
      <c r="M405" s="3">
        <v>2450.16</v>
      </c>
      <c r="N405" s="3">
        <v>1455.72</v>
      </c>
      <c r="O405" s="3">
        <v>994.44</v>
      </c>
      <c r="P405" s="3">
        <v>2634.45</v>
      </c>
    </row>
    <row r="406" spans="1:16">
      <c r="A406" t="s">
        <v>703</v>
      </c>
      <c r="B406" s="2" t="s">
        <v>538</v>
      </c>
      <c r="C406" t="s">
        <v>111</v>
      </c>
      <c r="D406" t="s">
        <v>40</v>
      </c>
      <c r="E406" t="s">
        <v>73</v>
      </c>
      <c r="F406" t="s">
        <v>128</v>
      </c>
      <c r="G406" t="s">
        <v>46</v>
      </c>
      <c r="H406" t="s">
        <v>75</v>
      </c>
      <c r="I406" t="s">
        <v>75</v>
      </c>
      <c r="J406" t="s">
        <v>89</v>
      </c>
      <c r="K406" s="3">
        <v>14</v>
      </c>
      <c r="L406" s="3">
        <v>433.53</v>
      </c>
      <c r="M406" s="3">
        <v>6069.42</v>
      </c>
      <c r="N406" s="3">
        <v>4041.98</v>
      </c>
      <c r="O406" s="3">
        <v>2027.44</v>
      </c>
      <c r="P406" s="3">
        <v>6689.04</v>
      </c>
    </row>
    <row r="407" spans="1:16">
      <c r="A407" t="s">
        <v>704</v>
      </c>
      <c r="B407" s="2" t="s">
        <v>705</v>
      </c>
      <c r="C407" t="s">
        <v>18</v>
      </c>
      <c r="D407" t="s">
        <v>19</v>
      </c>
      <c r="E407" t="s">
        <v>64</v>
      </c>
      <c r="F407" t="s">
        <v>105</v>
      </c>
      <c r="G407" t="s">
        <v>46</v>
      </c>
      <c r="H407" t="s">
        <v>47</v>
      </c>
      <c r="I407" t="s">
        <v>47</v>
      </c>
      <c r="J407" t="s">
        <v>84</v>
      </c>
      <c r="K407" s="3">
        <v>14</v>
      </c>
      <c r="L407" s="3">
        <v>319.13</v>
      </c>
      <c r="M407" s="3">
        <v>4467.82</v>
      </c>
      <c r="N407" s="3">
        <v>2532.9699999999998</v>
      </c>
      <c r="O407" s="3">
        <v>1934.85</v>
      </c>
      <c r="P407" s="3">
        <v>3865.11</v>
      </c>
    </row>
    <row r="408" spans="1:16">
      <c r="A408" t="s">
        <v>706</v>
      </c>
      <c r="B408" s="2" t="s">
        <v>707</v>
      </c>
      <c r="C408" t="s">
        <v>111</v>
      </c>
      <c r="D408" t="s">
        <v>40</v>
      </c>
      <c r="E408" t="s">
        <v>20</v>
      </c>
      <c r="F408" t="s">
        <v>56</v>
      </c>
      <c r="G408" t="s">
        <v>22</v>
      </c>
      <c r="H408" t="s">
        <v>23</v>
      </c>
      <c r="I408" t="s">
        <v>23</v>
      </c>
      <c r="J408" t="s">
        <v>70</v>
      </c>
      <c r="K408" s="3">
        <v>6</v>
      </c>
      <c r="L408" s="3">
        <v>266.45999999999998</v>
      </c>
      <c r="M408" s="3">
        <v>1598.76</v>
      </c>
      <c r="N408" s="3">
        <v>1202</v>
      </c>
      <c r="O408" s="3">
        <v>396.76</v>
      </c>
      <c r="P408" s="3">
        <v>1585.83</v>
      </c>
    </row>
    <row r="409" spans="1:16">
      <c r="A409" t="s">
        <v>708</v>
      </c>
      <c r="B409" s="2" t="s">
        <v>709</v>
      </c>
      <c r="C409" t="s">
        <v>55</v>
      </c>
      <c r="D409" t="s">
        <v>19</v>
      </c>
      <c r="E409" t="s">
        <v>34</v>
      </c>
      <c r="F409" t="s">
        <v>35</v>
      </c>
      <c r="G409" t="s">
        <v>22</v>
      </c>
      <c r="H409" t="s">
        <v>36</v>
      </c>
      <c r="I409" t="s">
        <v>36</v>
      </c>
      <c r="J409" t="s">
        <v>29</v>
      </c>
      <c r="K409" s="3">
        <v>16</v>
      </c>
      <c r="L409" s="3">
        <v>97.02</v>
      </c>
      <c r="M409" s="3">
        <v>1552.32</v>
      </c>
      <c r="N409" s="3">
        <v>995.26</v>
      </c>
      <c r="O409" s="3">
        <v>557.05999999999995</v>
      </c>
      <c r="P409" s="3">
        <v>1412.14</v>
      </c>
    </row>
    <row r="410" spans="1:16">
      <c r="A410" t="s">
        <v>710</v>
      </c>
      <c r="B410" s="2" t="s">
        <v>711</v>
      </c>
      <c r="C410" t="s">
        <v>27</v>
      </c>
      <c r="D410" t="s">
        <v>19</v>
      </c>
      <c r="E410" t="s">
        <v>73</v>
      </c>
      <c r="F410" t="s">
        <v>128</v>
      </c>
      <c r="G410" t="s">
        <v>22</v>
      </c>
      <c r="H410" t="s">
        <v>60</v>
      </c>
      <c r="I410" t="s">
        <v>60</v>
      </c>
      <c r="J410" t="s">
        <v>29</v>
      </c>
      <c r="K410" s="3">
        <v>20</v>
      </c>
      <c r="L410" s="3">
        <v>59.65</v>
      </c>
      <c r="M410" s="3">
        <v>1193</v>
      </c>
      <c r="N410" s="3">
        <v>605.44000000000005</v>
      </c>
      <c r="O410" s="3">
        <v>587.55999999999995</v>
      </c>
      <c r="P410" s="3">
        <v>1110.01</v>
      </c>
    </row>
    <row r="411" spans="1:16">
      <c r="A411" t="s">
        <v>712</v>
      </c>
      <c r="B411" s="2" t="s">
        <v>549</v>
      </c>
      <c r="C411" t="s">
        <v>111</v>
      </c>
      <c r="D411" t="s">
        <v>40</v>
      </c>
      <c r="E411" t="s">
        <v>20</v>
      </c>
      <c r="F411" t="s">
        <v>56</v>
      </c>
      <c r="G411" t="s">
        <v>46</v>
      </c>
      <c r="H411" t="s">
        <v>66</v>
      </c>
      <c r="I411" t="s">
        <v>66</v>
      </c>
      <c r="J411" t="s">
        <v>70</v>
      </c>
      <c r="K411" s="3">
        <v>20</v>
      </c>
      <c r="L411" s="3">
        <v>276.98</v>
      </c>
      <c r="M411" s="3">
        <v>5539.6</v>
      </c>
      <c r="N411" s="3">
        <v>3070.82</v>
      </c>
      <c r="O411" s="3">
        <v>2468.7800000000002</v>
      </c>
      <c r="P411" s="3">
        <v>5631.3</v>
      </c>
    </row>
    <row r="412" spans="1:16">
      <c r="A412" t="s">
        <v>713</v>
      </c>
      <c r="B412" s="2" t="s">
        <v>499</v>
      </c>
      <c r="C412" t="s">
        <v>81</v>
      </c>
      <c r="D412" t="s">
        <v>82</v>
      </c>
      <c r="E412" t="s">
        <v>20</v>
      </c>
      <c r="F412" t="s">
        <v>28</v>
      </c>
      <c r="G412" t="s">
        <v>41</v>
      </c>
      <c r="H412" t="s">
        <v>69</v>
      </c>
      <c r="I412" t="s">
        <v>69</v>
      </c>
      <c r="J412" t="s">
        <v>29</v>
      </c>
      <c r="K412" s="3">
        <v>18</v>
      </c>
      <c r="L412" s="3">
        <v>12.96</v>
      </c>
      <c r="M412" s="3">
        <v>233.28</v>
      </c>
      <c r="N412" s="3">
        <v>74.36</v>
      </c>
      <c r="O412" s="3">
        <v>158.91999999999999</v>
      </c>
      <c r="P412" s="3">
        <v>271.52</v>
      </c>
    </row>
    <row r="413" spans="1:16">
      <c r="A413" t="s">
        <v>714</v>
      </c>
      <c r="B413" s="2" t="s">
        <v>715</v>
      </c>
      <c r="C413" t="s">
        <v>81</v>
      </c>
      <c r="D413" t="s">
        <v>82</v>
      </c>
      <c r="E413" t="s">
        <v>34</v>
      </c>
      <c r="F413" t="s">
        <v>35</v>
      </c>
      <c r="G413" t="s">
        <v>46</v>
      </c>
      <c r="H413" t="s">
        <v>66</v>
      </c>
      <c r="I413" t="s">
        <v>66</v>
      </c>
      <c r="J413" t="s">
        <v>24</v>
      </c>
      <c r="K413" s="3">
        <v>16</v>
      </c>
      <c r="L413" s="3">
        <v>245.93</v>
      </c>
      <c r="M413" s="3">
        <v>3934.88</v>
      </c>
      <c r="N413" s="3">
        <v>2634.13</v>
      </c>
      <c r="O413" s="3">
        <v>1300.75</v>
      </c>
      <c r="P413" s="3">
        <v>3869.69</v>
      </c>
    </row>
    <row r="414" spans="1:16">
      <c r="A414" t="s">
        <v>716</v>
      </c>
      <c r="B414" s="2" t="s">
        <v>120</v>
      </c>
      <c r="C414" t="s">
        <v>102</v>
      </c>
      <c r="D414" t="s">
        <v>82</v>
      </c>
      <c r="E414" t="s">
        <v>34</v>
      </c>
      <c r="F414" t="s">
        <v>92</v>
      </c>
      <c r="G414" t="s">
        <v>22</v>
      </c>
      <c r="H414" t="s">
        <v>95</v>
      </c>
      <c r="I414" t="s">
        <v>95</v>
      </c>
      <c r="J414" t="s">
        <v>70</v>
      </c>
      <c r="K414" s="3">
        <v>18</v>
      </c>
      <c r="L414" s="3">
        <v>621.82000000000005</v>
      </c>
      <c r="M414" s="3">
        <v>11192.76</v>
      </c>
      <c r="N414" s="3">
        <v>9274.49</v>
      </c>
      <c r="O414" s="3">
        <v>1918.27</v>
      </c>
      <c r="P414" s="3">
        <v>10254.33</v>
      </c>
    </row>
    <row r="415" spans="1:16">
      <c r="A415" t="s">
        <v>717</v>
      </c>
      <c r="B415" s="2" t="s">
        <v>387</v>
      </c>
      <c r="C415" t="s">
        <v>27</v>
      </c>
      <c r="D415" t="s">
        <v>19</v>
      </c>
      <c r="E415" t="s">
        <v>20</v>
      </c>
      <c r="F415" t="s">
        <v>28</v>
      </c>
      <c r="G415" t="s">
        <v>41</v>
      </c>
      <c r="H415" t="s">
        <v>69</v>
      </c>
      <c r="I415" t="s">
        <v>69</v>
      </c>
      <c r="J415" t="s">
        <v>29</v>
      </c>
      <c r="K415" s="3">
        <v>11</v>
      </c>
      <c r="L415" s="3">
        <v>12.45</v>
      </c>
      <c r="M415" s="3">
        <v>136.94999999999999</v>
      </c>
      <c r="N415" s="3">
        <v>43.6</v>
      </c>
      <c r="O415" s="3">
        <v>93.35</v>
      </c>
      <c r="P415" s="3">
        <v>121.52</v>
      </c>
    </row>
    <row r="416" spans="1:16">
      <c r="A416" t="s">
        <v>718</v>
      </c>
      <c r="B416" s="2" t="s">
        <v>404</v>
      </c>
      <c r="C416" t="s">
        <v>18</v>
      </c>
      <c r="D416" t="s">
        <v>19</v>
      </c>
      <c r="E416" t="s">
        <v>34</v>
      </c>
      <c r="F416" t="s">
        <v>45</v>
      </c>
      <c r="G416" t="s">
        <v>46</v>
      </c>
      <c r="H416" t="s">
        <v>66</v>
      </c>
      <c r="I416" t="s">
        <v>66</v>
      </c>
      <c r="J416" t="s">
        <v>57</v>
      </c>
      <c r="K416" s="3">
        <v>20</v>
      </c>
      <c r="L416" s="3">
        <v>263.36</v>
      </c>
      <c r="M416" s="3">
        <v>5267.2</v>
      </c>
      <c r="N416" s="3">
        <v>3128.18</v>
      </c>
      <c r="O416" s="3">
        <v>2139.02</v>
      </c>
      <c r="P416" s="3">
        <v>5731.83</v>
      </c>
    </row>
    <row r="417" spans="1:16">
      <c r="A417" t="s">
        <v>719</v>
      </c>
      <c r="B417" s="2" t="s">
        <v>720</v>
      </c>
      <c r="C417" t="s">
        <v>102</v>
      </c>
      <c r="D417" t="s">
        <v>82</v>
      </c>
      <c r="E417" t="s">
        <v>64</v>
      </c>
      <c r="F417" t="s">
        <v>105</v>
      </c>
      <c r="G417" t="s">
        <v>41</v>
      </c>
      <c r="H417" t="s">
        <v>51</v>
      </c>
      <c r="I417" t="s">
        <v>51</v>
      </c>
      <c r="J417" t="s">
        <v>29</v>
      </c>
      <c r="K417" s="3">
        <v>10</v>
      </c>
      <c r="L417" s="3">
        <v>20.92</v>
      </c>
      <c r="M417" s="3">
        <v>209.2</v>
      </c>
      <c r="N417" s="3">
        <v>100.78</v>
      </c>
      <c r="O417" s="3">
        <v>108.42</v>
      </c>
      <c r="P417" s="3">
        <v>234.51</v>
      </c>
    </row>
    <row r="418" spans="1:16">
      <c r="A418" t="s">
        <v>721</v>
      </c>
      <c r="B418" s="2" t="s">
        <v>722</v>
      </c>
      <c r="C418" t="s">
        <v>55</v>
      </c>
      <c r="D418" t="s">
        <v>19</v>
      </c>
      <c r="E418" t="s">
        <v>20</v>
      </c>
      <c r="F418" t="s">
        <v>56</v>
      </c>
      <c r="G418" t="s">
        <v>41</v>
      </c>
      <c r="H418" t="s">
        <v>69</v>
      </c>
      <c r="I418" t="s">
        <v>69</v>
      </c>
      <c r="J418" t="s">
        <v>70</v>
      </c>
      <c r="K418" s="3">
        <v>17</v>
      </c>
      <c r="L418" s="3">
        <v>11.04</v>
      </c>
      <c r="M418" s="3">
        <v>187.68</v>
      </c>
      <c r="N418" s="3">
        <v>67.319999999999993</v>
      </c>
      <c r="O418" s="3">
        <v>120.36</v>
      </c>
      <c r="P418" s="3">
        <v>181.76</v>
      </c>
    </row>
    <row r="419" spans="1:16">
      <c r="A419" t="s">
        <v>723</v>
      </c>
      <c r="B419" s="2" t="s">
        <v>110</v>
      </c>
      <c r="C419" t="s">
        <v>111</v>
      </c>
      <c r="D419" t="s">
        <v>40</v>
      </c>
      <c r="E419" t="s">
        <v>20</v>
      </c>
      <c r="F419" t="s">
        <v>28</v>
      </c>
      <c r="G419" t="s">
        <v>22</v>
      </c>
      <c r="H419" t="s">
        <v>36</v>
      </c>
      <c r="I419" t="s">
        <v>36</v>
      </c>
      <c r="J419" t="s">
        <v>61</v>
      </c>
      <c r="K419" s="3">
        <v>14</v>
      </c>
      <c r="L419" s="3">
        <v>103.09</v>
      </c>
      <c r="M419" s="3">
        <v>1443.26</v>
      </c>
      <c r="N419" s="3">
        <v>805.4</v>
      </c>
      <c r="O419" s="3">
        <v>637.86</v>
      </c>
      <c r="P419" s="3">
        <v>1359.67</v>
      </c>
    </row>
    <row r="420" spans="1:16">
      <c r="A420" t="s">
        <v>724</v>
      </c>
      <c r="B420" s="2" t="s">
        <v>725</v>
      </c>
      <c r="C420" t="s">
        <v>39</v>
      </c>
      <c r="D420" t="s">
        <v>40</v>
      </c>
      <c r="E420" t="s">
        <v>20</v>
      </c>
      <c r="F420" t="s">
        <v>50</v>
      </c>
      <c r="G420" t="s">
        <v>41</v>
      </c>
      <c r="H420" t="s">
        <v>42</v>
      </c>
      <c r="I420" t="s">
        <v>42</v>
      </c>
      <c r="J420" t="s">
        <v>84</v>
      </c>
      <c r="K420" s="3">
        <v>20</v>
      </c>
      <c r="L420" s="3">
        <v>9.3800000000000008</v>
      </c>
      <c r="M420" s="3">
        <v>187.6</v>
      </c>
      <c r="N420" s="3">
        <v>57.34</v>
      </c>
      <c r="O420" s="3">
        <v>130.26</v>
      </c>
      <c r="P420" s="3">
        <v>210.26</v>
      </c>
    </row>
    <row r="421" spans="1:16">
      <c r="A421" t="s">
        <v>726</v>
      </c>
      <c r="B421" s="2" t="s">
        <v>705</v>
      </c>
      <c r="C421" t="s">
        <v>18</v>
      </c>
      <c r="D421" t="s">
        <v>19</v>
      </c>
      <c r="E421" t="s">
        <v>64</v>
      </c>
      <c r="F421" t="s">
        <v>103</v>
      </c>
      <c r="G421" t="s">
        <v>22</v>
      </c>
      <c r="H421" t="s">
        <v>60</v>
      </c>
      <c r="I421" t="s">
        <v>60</v>
      </c>
      <c r="J421" t="s">
        <v>84</v>
      </c>
      <c r="K421" s="3">
        <v>20</v>
      </c>
      <c r="L421" s="3">
        <v>51.64</v>
      </c>
      <c r="M421" s="3">
        <v>1032.8</v>
      </c>
      <c r="N421" s="3">
        <v>600.63</v>
      </c>
      <c r="O421" s="3">
        <v>432.17</v>
      </c>
      <c r="P421" s="3">
        <v>1130.3599999999999</v>
      </c>
    </row>
    <row r="422" spans="1:16">
      <c r="A422" t="s">
        <v>727</v>
      </c>
      <c r="B422" s="2" t="s">
        <v>728</v>
      </c>
      <c r="C422" t="s">
        <v>18</v>
      </c>
      <c r="D422" t="s">
        <v>19</v>
      </c>
      <c r="E422" t="s">
        <v>34</v>
      </c>
      <c r="F422" t="s">
        <v>123</v>
      </c>
      <c r="G422" t="s">
        <v>46</v>
      </c>
      <c r="H422" t="s">
        <v>75</v>
      </c>
      <c r="I422" t="s">
        <v>75</v>
      </c>
      <c r="J422" t="s">
        <v>61</v>
      </c>
      <c r="K422" s="3">
        <v>3</v>
      </c>
      <c r="L422" s="3">
        <v>459.95</v>
      </c>
      <c r="M422" s="3">
        <v>1379.85</v>
      </c>
      <c r="N422" s="3">
        <v>881.73</v>
      </c>
      <c r="O422" s="3">
        <v>498.12</v>
      </c>
      <c r="P422" s="3">
        <v>1549.41</v>
      </c>
    </row>
    <row r="423" spans="1:16">
      <c r="A423" t="s">
        <v>729</v>
      </c>
      <c r="B423" s="2" t="s">
        <v>471</v>
      </c>
      <c r="C423" t="s">
        <v>18</v>
      </c>
      <c r="D423" t="s">
        <v>19</v>
      </c>
      <c r="E423" t="s">
        <v>64</v>
      </c>
      <c r="F423" t="s">
        <v>105</v>
      </c>
      <c r="G423" t="s">
        <v>46</v>
      </c>
      <c r="H423" t="s">
        <v>75</v>
      </c>
      <c r="I423" t="s">
        <v>75</v>
      </c>
      <c r="J423" t="s">
        <v>61</v>
      </c>
      <c r="K423" s="3">
        <v>3</v>
      </c>
      <c r="L423" s="3">
        <v>439.9</v>
      </c>
      <c r="M423" s="3">
        <v>1319.7</v>
      </c>
      <c r="N423" s="3">
        <v>875.21</v>
      </c>
      <c r="O423" s="3">
        <v>444.49</v>
      </c>
      <c r="P423" s="3">
        <v>1375.6</v>
      </c>
    </row>
    <row r="424" spans="1:16">
      <c r="A424" t="s">
        <v>730</v>
      </c>
      <c r="B424" s="2" t="s">
        <v>569</v>
      </c>
      <c r="C424" t="s">
        <v>142</v>
      </c>
      <c r="D424" t="s">
        <v>33</v>
      </c>
      <c r="E424" t="s">
        <v>34</v>
      </c>
      <c r="F424" t="s">
        <v>123</v>
      </c>
      <c r="G424" t="s">
        <v>46</v>
      </c>
      <c r="H424" t="s">
        <v>47</v>
      </c>
      <c r="I424" t="s">
        <v>47</v>
      </c>
      <c r="J424" t="s">
        <v>29</v>
      </c>
      <c r="K424" s="3">
        <v>13</v>
      </c>
      <c r="L424" s="3">
        <v>307.2</v>
      </c>
      <c r="M424" s="3">
        <v>3993.6</v>
      </c>
      <c r="N424" s="3">
        <v>2488.5</v>
      </c>
      <c r="O424" s="3">
        <v>1505.1</v>
      </c>
      <c r="P424" s="3">
        <v>3759.53</v>
      </c>
    </row>
    <row r="425" spans="1:16">
      <c r="A425" t="s">
        <v>731</v>
      </c>
      <c r="B425" s="2" t="s">
        <v>294</v>
      </c>
      <c r="C425" t="s">
        <v>81</v>
      </c>
      <c r="D425" t="s">
        <v>82</v>
      </c>
      <c r="E425" t="s">
        <v>20</v>
      </c>
      <c r="F425" t="s">
        <v>21</v>
      </c>
      <c r="G425" t="s">
        <v>41</v>
      </c>
      <c r="H425" t="s">
        <v>86</v>
      </c>
      <c r="I425" t="s">
        <v>86</v>
      </c>
      <c r="J425" t="s">
        <v>52</v>
      </c>
      <c r="K425" s="3">
        <v>9</v>
      </c>
      <c r="L425" s="3">
        <v>19.09</v>
      </c>
      <c r="M425" s="3">
        <v>171.81</v>
      </c>
      <c r="N425" s="3">
        <v>74.709999999999994</v>
      </c>
      <c r="O425" s="3">
        <v>97.1</v>
      </c>
      <c r="P425" s="3">
        <v>194.94</v>
      </c>
    </row>
    <row r="426" spans="1:16">
      <c r="A426" t="s">
        <v>732</v>
      </c>
      <c r="B426" s="2" t="s">
        <v>315</v>
      </c>
      <c r="C426" t="s">
        <v>55</v>
      </c>
      <c r="D426" t="s">
        <v>19</v>
      </c>
      <c r="E426" t="s">
        <v>64</v>
      </c>
      <c r="F426" t="s">
        <v>65</v>
      </c>
      <c r="G426" t="s">
        <v>22</v>
      </c>
      <c r="H426" t="s">
        <v>60</v>
      </c>
      <c r="I426" t="s">
        <v>60</v>
      </c>
      <c r="J426" t="s">
        <v>70</v>
      </c>
      <c r="K426" s="3">
        <v>15</v>
      </c>
      <c r="L426" s="3">
        <v>60.07</v>
      </c>
      <c r="M426" s="3">
        <v>901.05</v>
      </c>
      <c r="N426" s="3">
        <v>458.17</v>
      </c>
      <c r="O426" s="3">
        <v>442.88</v>
      </c>
      <c r="P426" s="3">
        <v>1048.6300000000001</v>
      </c>
    </row>
    <row r="427" spans="1:16">
      <c r="A427" t="s">
        <v>733</v>
      </c>
      <c r="B427" s="2" t="s">
        <v>228</v>
      </c>
      <c r="C427" t="s">
        <v>155</v>
      </c>
      <c r="D427" t="s">
        <v>82</v>
      </c>
      <c r="E427" t="s">
        <v>34</v>
      </c>
      <c r="F427" t="s">
        <v>35</v>
      </c>
      <c r="G427" t="s">
        <v>41</v>
      </c>
      <c r="H427" t="s">
        <v>69</v>
      </c>
      <c r="I427" t="s">
        <v>69</v>
      </c>
      <c r="J427" t="s">
        <v>61</v>
      </c>
      <c r="K427" s="3">
        <v>8</v>
      </c>
      <c r="L427" s="3">
        <v>12.42</v>
      </c>
      <c r="M427" s="3">
        <v>99.36</v>
      </c>
      <c r="N427" s="3">
        <v>32.96</v>
      </c>
      <c r="O427" s="3">
        <v>66.400000000000006</v>
      </c>
      <c r="P427" s="3">
        <v>98.8</v>
      </c>
    </row>
    <row r="428" spans="1:16">
      <c r="A428" t="s">
        <v>734</v>
      </c>
      <c r="B428" s="2" t="s">
        <v>735</v>
      </c>
      <c r="C428" t="s">
        <v>81</v>
      </c>
      <c r="D428" t="s">
        <v>82</v>
      </c>
      <c r="E428" t="s">
        <v>20</v>
      </c>
      <c r="F428" t="s">
        <v>21</v>
      </c>
      <c r="G428" t="s">
        <v>22</v>
      </c>
      <c r="H428" t="s">
        <v>60</v>
      </c>
      <c r="I428" t="s">
        <v>60</v>
      </c>
      <c r="J428" t="s">
        <v>89</v>
      </c>
      <c r="K428" s="3">
        <v>11</v>
      </c>
      <c r="L428" s="3">
        <v>50.52</v>
      </c>
      <c r="M428" s="3">
        <v>555.72</v>
      </c>
      <c r="N428" s="3">
        <v>316.01</v>
      </c>
      <c r="O428" s="3">
        <v>239.71</v>
      </c>
      <c r="P428" s="3">
        <v>653.52</v>
      </c>
    </row>
    <row r="429" spans="1:16">
      <c r="A429" t="s">
        <v>736</v>
      </c>
      <c r="B429" s="2" t="s">
        <v>289</v>
      </c>
      <c r="C429" t="s">
        <v>142</v>
      </c>
      <c r="D429" t="s">
        <v>33</v>
      </c>
      <c r="E429" t="s">
        <v>73</v>
      </c>
      <c r="F429" t="s">
        <v>128</v>
      </c>
      <c r="G429" t="s">
        <v>22</v>
      </c>
      <c r="H429" t="s">
        <v>23</v>
      </c>
      <c r="I429" t="s">
        <v>23</v>
      </c>
      <c r="J429" t="s">
        <v>52</v>
      </c>
      <c r="K429" s="3">
        <v>7</v>
      </c>
      <c r="L429" s="3">
        <v>279.94</v>
      </c>
      <c r="M429" s="3">
        <v>1959.58</v>
      </c>
      <c r="N429" s="3">
        <v>1362.88</v>
      </c>
      <c r="O429" s="3">
        <v>596.70000000000005</v>
      </c>
      <c r="P429" s="3">
        <v>1831.66</v>
      </c>
    </row>
    <row r="430" spans="1:16">
      <c r="A430" t="s">
        <v>737</v>
      </c>
      <c r="B430" s="2" t="s">
        <v>323</v>
      </c>
      <c r="C430" t="s">
        <v>32</v>
      </c>
      <c r="D430" t="s">
        <v>33</v>
      </c>
      <c r="E430" t="s">
        <v>73</v>
      </c>
      <c r="F430" t="s">
        <v>137</v>
      </c>
      <c r="G430" t="s">
        <v>46</v>
      </c>
      <c r="H430" t="s">
        <v>78</v>
      </c>
      <c r="I430" t="s">
        <v>78</v>
      </c>
      <c r="J430" t="s">
        <v>89</v>
      </c>
      <c r="K430" s="3">
        <v>4</v>
      </c>
      <c r="L430" s="3">
        <v>181.58</v>
      </c>
      <c r="M430" s="3">
        <v>726.32</v>
      </c>
      <c r="N430" s="3">
        <v>461.75</v>
      </c>
      <c r="O430" s="3">
        <v>264.57</v>
      </c>
      <c r="P430" s="3">
        <v>637.32000000000005</v>
      </c>
    </row>
    <row r="431" spans="1:16">
      <c r="A431" t="s">
        <v>738</v>
      </c>
      <c r="B431" s="2" t="s">
        <v>739</v>
      </c>
      <c r="C431" t="s">
        <v>27</v>
      </c>
      <c r="D431" t="s">
        <v>19</v>
      </c>
      <c r="E431" t="s">
        <v>20</v>
      </c>
      <c r="F431" t="s">
        <v>50</v>
      </c>
      <c r="G431" t="s">
        <v>41</v>
      </c>
      <c r="H431" t="s">
        <v>42</v>
      </c>
      <c r="I431" t="s">
        <v>42</v>
      </c>
      <c r="J431" t="s">
        <v>52</v>
      </c>
      <c r="K431" s="3">
        <v>19</v>
      </c>
      <c r="L431" s="3">
        <v>8.99</v>
      </c>
      <c r="M431" s="3">
        <v>170.81</v>
      </c>
      <c r="N431" s="3">
        <v>59.1</v>
      </c>
      <c r="O431" s="3">
        <v>111.71</v>
      </c>
      <c r="P431" s="3">
        <v>174.53</v>
      </c>
    </row>
    <row r="432" spans="1:16">
      <c r="A432" t="s">
        <v>740</v>
      </c>
      <c r="B432" s="2" t="s">
        <v>161</v>
      </c>
      <c r="C432" t="s">
        <v>102</v>
      </c>
      <c r="D432" t="s">
        <v>82</v>
      </c>
      <c r="E432" t="s">
        <v>73</v>
      </c>
      <c r="F432" t="s">
        <v>83</v>
      </c>
      <c r="G432" t="s">
        <v>46</v>
      </c>
      <c r="H432" t="s">
        <v>66</v>
      </c>
      <c r="I432" t="s">
        <v>66</v>
      </c>
      <c r="J432" t="s">
        <v>84</v>
      </c>
      <c r="K432" s="3">
        <v>18</v>
      </c>
      <c r="L432" s="3">
        <v>258.87</v>
      </c>
      <c r="M432" s="3">
        <v>4659.66</v>
      </c>
      <c r="N432" s="3">
        <v>2745.38</v>
      </c>
      <c r="O432" s="3">
        <v>1914.28</v>
      </c>
      <c r="P432" s="3">
        <v>4527.1000000000004</v>
      </c>
    </row>
    <row r="433" spans="1:16">
      <c r="A433" t="s">
        <v>741</v>
      </c>
      <c r="B433" s="2" t="s">
        <v>228</v>
      </c>
      <c r="C433" t="s">
        <v>155</v>
      </c>
      <c r="D433" t="s">
        <v>82</v>
      </c>
      <c r="E433" t="s">
        <v>64</v>
      </c>
      <c r="F433" t="s">
        <v>145</v>
      </c>
      <c r="G433" t="s">
        <v>46</v>
      </c>
      <c r="H433" t="s">
        <v>75</v>
      </c>
      <c r="I433" t="s">
        <v>75</v>
      </c>
      <c r="J433" t="s">
        <v>61</v>
      </c>
      <c r="K433" s="3">
        <v>7</v>
      </c>
      <c r="L433" s="3">
        <v>378.99</v>
      </c>
      <c r="M433" s="3">
        <v>2652.93</v>
      </c>
      <c r="N433" s="3">
        <v>1936.37</v>
      </c>
      <c r="O433" s="3">
        <v>716.56</v>
      </c>
      <c r="P433" s="3">
        <v>2348.54</v>
      </c>
    </row>
    <row r="434" spans="1:16">
      <c r="A434" t="s">
        <v>742</v>
      </c>
      <c r="B434" s="2" t="s">
        <v>668</v>
      </c>
      <c r="C434" t="s">
        <v>27</v>
      </c>
      <c r="D434" t="s">
        <v>19</v>
      </c>
      <c r="E434" t="s">
        <v>34</v>
      </c>
      <c r="F434" t="s">
        <v>123</v>
      </c>
      <c r="G434" t="s">
        <v>46</v>
      </c>
      <c r="H434" t="s">
        <v>78</v>
      </c>
      <c r="I434" t="s">
        <v>78</v>
      </c>
      <c r="J434" t="s">
        <v>84</v>
      </c>
      <c r="K434" s="3">
        <v>16</v>
      </c>
      <c r="L434" s="3">
        <v>184.75</v>
      </c>
      <c r="M434" s="3">
        <v>2956</v>
      </c>
      <c r="N434" s="3">
        <v>2008.04</v>
      </c>
      <c r="O434" s="3">
        <v>947.96</v>
      </c>
      <c r="P434" s="3">
        <v>2867.57</v>
      </c>
    </row>
    <row r="435" spans="1:16">
      <c r="A435" t="s">
        <v>743</v>
      </c>
      <c r="B435" s="2" t="s">
        <v>159</v>
      </c>
      <c r="C435" t="s">
        <v>155</v>
      </c>
      <c r="D435" t="s">
        <v>82</v>
      </c>
      <c r="E435" t="s">
        <v>73</v>
      </c>
      <c r="F435" t="s">
        <v>74</v>
      </c>
      <c r="G435" t="s">
        <v>46</v>
      </c>
      <c r="H435" t="s">
        <v>78</v>
      </c>
      <c r="I435" t="s">
        <v>78</v>
      </c>
      <c r="J435" t="s">
        <v>84</v>
      </c>
      <c r="K435" s="3">
        <v>13</v>
      </c>
      <c r="L435" s="3">
        <v>189.74</v>
      </c>
      <c r="M435" s="3">
        <v>2466.62</v>
      </c>
      <c r="N435" s="3">
        <v>1525.62</v>
      </c>
      <c r="O435" s="3">
        <v>941</v>
      </c>
      <c r="P435" s="3">
        <v>2251.9299999999998</v>
      </c>
    </row>
    <row r="436" spans="1:16">
      <c r="A436" t="s">
        <v>744</v>
      </c>
      <c r="B436" s="2" t="s">
        <v>245</v>
      </c>
      <c r="C436" t="s">
        <v>27</v>
      </c>
      <c r="D436" t="s">
        <v>19</v>
      </c>
      <c r="E436" t="s">
        <v>73</v>
      </c>
      <c r="F436" t="s">
        <v>83</v>
      </c>
      <c r="G436" t="s">
        <v>46</v>
      </c>
      <c r="H436" t="s">
        <v>78</v>
      </c>
      <c r="I436" t="s">
        <v>78</v>
      </c>
      <c r="J436" t="s">
        <v>84</v>
      </c>
      <c r="K436" s="3">
        <v>18</v>
      </c>
      <c r="L436" s="3">
        <v>206.86</v>
      </c>
      <c r="M436" s="3">
        <v>3723.48</v>
      </c>
      <c r="N436" s="3">
        <v>2145.36</v>
      </c>
      <c r="O436" s="3">
        <v>1578.12</v>
      </c>
      <c r="P436" s="3">
        <v>3661.33</v>
      </c>
    </row>
    <row r="437" spans="1:16">
      <c r="A437" t="s">
        <v>745</v>
      </c>
      <c r="B437" s="2" t="s">
        <v>722</v>
      </c>
      <c r="C437" t="s">
        <v>55</v>
      </c>
      <c r="D437" t="s">
        <v>19</v>
      </c>
      <c r="E437" t="s">
        <v>64</v>
      </c>
      <c r="F437" t="s">
        <v>103</v>
      </c>
      <c r="G437" t="s">
        <v>22</v>
      </c>
      <c r="H437" t="s">
        <v>36</v>
      </c>
      <c r="I437" t="s">
        <v>36</v>
      </c>
      <c r="J437" t="s">
        <v>89</v>
      </c>
      <c r="K437" s="3">
        <v>17</v>
      </c>
      <c r="L437" s="3">
        <v>94.99</v>
      </c>
      <c r="M437" s="3">
        <v>1614.83</v>
      </c>
      <c r="N437" s="3">
        <v>1023.47</v>
      </c>
      <c r="O437" s="3">
        <v>591.36</v>
      </c>
      <c r="P437" s="3">
        <v>1551.05</v>
      </c>
    </row>
    <row r="438" spans="1:16">
      <c r="A438" t="s">
        <v>746</v>
      </c>
      <c r="B438" s="2" t="s">
        <v>560</v>
      </c>
      <c r="C438" t="s">
        <v>114</v>
      </c>
      <c r="D438" t="s">
        <v>33</v>
      </c>
      <c r="E438" t="s">
        <v>20</v>
      </c>
      <c r="F438" t="s">
        <v>50</v>
      </c>
      <c r="G438" t="s">
        <v>22</v>
      </c>
      <c r="H438" t="s">
        <v>23</v>
      </c>
      <c r="I438" t="s">
        <v>23</v>
      </c>
      <c r="J438" t="s">
        <v>89</v>
      </c>
      <c r="K438" s="3">
        <v>9</v>
      </c>
      <c r="L438" s="3">
        <v>255.36</v>
      </c>
      <c r="M438" s="3">
        <v>2298.2399999999998</v>
      </c>
      <c r="N438" s="3">
        <v>1795.78</v>
      </c>
      <c r="O438" s="3">
        <v>502.46</v>
      </c>
      <c r="P438" s="3">
        <v>2460.16</v>
      </c>
    </row>
    <row r="439" spans="1:16">
      <c r="A439" t="s">
        <v>747</v>
      </c>
      <c r="B439" s="2" t="s">
        <v>748</v>
      </c>
      <c r="C439" t="s">
        <v>55</v>
      </c>
      <c r="D439" t="s">
        <v>19</v>
      </c>
      <c r="E439" t="s">
        <v>34</v>
      </c>
      <c r="F439" t="s">
        <v>45</v>
      </c>
      <c r="G439" t="s">
        <v>41</v>
      </c>
      <c r="H439" t="s">
        <v>42</v>
      </c>
      <c r="I439" t="s">
        <v>42</v>
      </c>
      <c r="J439" t="s">
        <v>57</v>
      </c>
      <c r="K439" s="3">
        <v>14</v>
      </c>
      <c r="L439" s="3">
        <v>8.7200000000000006</v>
      </c>
      <c r="M439" s="3">
        <v>122.08</v>
      </c>
      <c r="N439" s="3">
        <v>40.409999999999997</v>
      </c>
      <c r="O439" s="3">
        <v>81.67</v>
      </c>
      <c r="P439" s="3">
        <v>140.83000000000001</v>
      </c>
    </row>
    <row r="440" spans="1:16">
      <c r="A440" t="s">
        <v>749</v>
      </c>
      <c r="B440" s="2" t="s">
        <v>370</v>
      </c>
      <c r="C440" t="s">
        <v>27</v>
      </c>
      <c r="D440" t="s">
        <v>19</v>
      </c>
      <c r="E440" t="s">
        <v>73</v>
      </c>
      <c r="F440" t="s">
        <v>128</v>
      </c>
      <c r="G440" t="s">
        <v>41</v>
      </c>
      <c r="H440" t="s">
        <v>42</v>
      </c>
      <c r="I440" t="s">
        <v>42</v>
      </c>
      <c r="J440" t="s">
        <v>24</v>
      </c>
      <c r="K440" s="3">
        <v>16</v>
      </c>
      <c r="L440" s="3">
        <v>9.31</v>
      </c>
      <c r="M440" s="3">
        <v>148.96</v>
      </c>
      <c r="N440" s="3">
        <v>49.32</v>
      </c>
      <c r="O440" s="3">
        <v>99.64</v>
      </c>
      <c r="P440" s="3">
        <v>149.91999999999999</v>
      </c>
    </row>
    <row r="441" spans="1:16">
      <c r="A441" t="s">
        <v>750</v>
      </c>
      <c r="B441" s="2" t="s">
        <v>278</v>
      </c>
      <c r="C441" t="s">
        <v>102</v>
      </c>
      <c r="D441" t="s">
        <v>82</v>
      </c>
      <c r="E441" t="s">
        <v>34</v>
      </c>
      <c r="F441" t="s">
        <v>92</v>
      </c>
      <c r="G441" t="s">
        <v>46</v>
      </c>
      <c r="H441" t="s">
        <v>47</v>
      </c>
      <c r="I441" t="s">
        <v>47</v>
      </c>
      <c r="J441" t="s">
        <v>29</v>
      </c>
      <c r="K441" s="3">
        <v>11</v>
      </c>
      <c r="L441" s="3">
        <v>332.83</v>
      </c>
      <c r="M441" s="3">
        <v>3661.13</v>
      </c>
      <c r="N441" s="3">
        <v>2073.66</v>
      </c>
      <c r="O441" s="3">
        <v>1587.47</v>
      </c>
      <c r="P441" s="3">
        <v>3896.57</v>
      </c>
    </row>
    <row r="442" spans="1:16">
      <c r="A442" t="s">
        <v>751</v>
      </c>
      <c r="B442" s="2" t="s">
        <v>752</v>
      </c>
      <c r="C442" t="s">
        <v>39</v>
      </c>
      <c r="D442" t="s">
        <v>40</v>
      </c>
      <c r="E442" t="s">
        <v>73</v>
      </c>
      <c r="F442" t="s">
        <v>128</v>
      </c>
      <c r="G442" t="s">
        <v>22</v>
      </c>
      <c r="H442" t="s">
        <v>60</v>
      </c>
      <c r="I442" t="s">
        <v>60</v>
      </c>
      <c r="J442" t="s">
        <v>29</v>
      </c>
      <c r="K442" s="3">
        <v>10</v>
      </c>
      <c r="L442" s="3">
        <v>52.99</v>
      </c>
      <c r="M442" s="3">
        <v>529.9</v>
      </c>
      <c r="N442" s="3">
        <v>306.31</v>
      </c>
      <c r="O442" s="3">
        <v>223.59</v>
      </c>
      <c r="P442" s="3">
        <v>562.69000000000005</v>
      </c>
    </row>
    <row r="443" spans="1:16">
      <c r="A443" t="s">
        <v>753</v>
      </c>
      <c r="B443" s="2" t="s">
        <v>331</v>
      </c>
      <c r="C443" t="s">
        <v>114</v>
      </c>
      <c r="D443" t="s">
        <v>33</v>
      </c>
      <c r="E443" t="s">
        <v>34</v>
      </c>
      <c r="F443" t="s">
        <v>92</v>
      </c>
      <c r="G443" t="s">
        <v>41</v>
      </c>
      <c r="H443" t="s">
        <v>69</v>
      </c>
      <c r="I443" t="s">
        <v>69</v>
      </c>
      <c r="J443" t="s">
        <v>52</v>
      </c>
      <c r="K443" s="3">
        <v>1</v>
      </c>
      <c r="L443" s="3">
        <v>11.24</v>
      </c>
      <c r="M443" s="3">
        <v>11.24</v>
      </c>
      <c r="N443" s="3">
        <v>3.85</v>
      </c>
      <c r="O443" s="3">
        <v>7.39</v>
      </c>
      <c r="P443" s="3">
        <v>10.48</v>
      </c>
    </row>
    <row r="444" spans="1:16">
      <c r="A444" t="s">
        <v>754</v>
      </c>
      <c r="B444" s="2" t="s">
        <v>755</v>
      </c>
      <c r="C444" t="s">
        <v>55</v>
      </c>
      <c r="D444" t="s">
        <v>19</v>
      </c>
      <c r="E444" t="s">
        <v>20</v>
      </c>
      <c r="F444" t="s">
        <v>56</v>
      </c>
      <c r="G444" t="s">
        <v>22</v>
      </c>
      <c r="H444" t="s">
        <v>36</v>
      </c>
      <c r="I444" t="s">
        <v>36</v>
      </c>
      <c r="J444" t="s">
        <v>70</v>
      </c>
      <c r="K444" s="3">
        <v>3</v>
      </c>
      <c r="L444" s="3">
        <v>87.46</v>
      </c>
      <c r="M444" s="3">
        <v>262.38</v>
      </c>
      <c r="N444" s="3">
        <v>187.86</v>
      </c>
      <c r="O444" s="3">
        <v>74.52</v>
      </c>
      <c r="P444" s="3">
        <v>266.48</v>
      </c>
    </row>
    <row r="445" spans="1:16">
      <c r="A445" t="s">
        <v>756</v>
      </c>
      <c r="B445" s="2" t="s">
        <v>427</v>
      </c>
      <c r="C445" t="s">
        <v>108</v>
      </c>
      <c r="D445" t="s">
        <v>40</v>
      </c>
      <c r="E445" t="s">
        <v>64</v>
      </c>
      <c r="F445" t="s">
        <v>103</v>
      </c>
      <c r="G445" t="s">
        <v>22</v>
      </c>
      <c r="H445" t="s">
        <v>60</v>
      </c>
      <c r="I445" t="s">
        <v>60</v>
      </c>
      <c r="J445" t="s">
        <v>52</v>
      </c>
      <c r="K445" s="3">
        <v>3</v>
      </c>
      <c r="L445" s="3">
        <v>56.3</v>
      </c>
      <c r="M445" s="3">
        <v>168.9</v>
      </c>
      <c r="N445" s="3">
        <v>91.39</v>
      </c>
      <c r="O445" s="3">
        <v>77.510000000000005</v>
      </c>
      <c r="P445" s="3">
        <v>195.91</v>
      </c>
    </row>
    <row r="446" spans="1:16">
      <c r="A446" t="s">
        <v>757</v>
      </c>
      <c r="B446" s="2" t="s">
        <v>323</v>
      </c>
      <c r="C446" t="s">
        <v>32</v>
      </c>
      <c r="D446" t="s">
        <v>33</v>
      </c>
      <c r="E446" t="s">
        <v>34</v>
      </c>
      <c r="F446" t="s">
        <v>92</v>
      </c>
      <c r="G446" t="s">
        <v>46</v>
      </c>
      <c r="H446" t="s">
        <v>47</v>
      </c>
      <c r="I446" t="s">
        <v>47</v>
      </c>
      <c r="J446" t="s">
        <v>61</v>
      </c>
      <c r="K446" s="3">
        <v>6</v>
      </c>
      <c r="L446" s="3">
        <v>287.14</v>
      </c>
      <c r="M446" s="3">
        <v>1722.84</v>
      </c>
      <c r="N446" s="3">
        <v>1086.26</v>
      </c>
      <c r="O446" s="3">
        <v>636.58000000000004</v>
      </c>
      <c r="P446" s="3">
        <v>1864.53</v>
      </c>
    </row>
    <row r="447" spans="1:16">
      <c r="A447" t="s">
        <v>758</v>
      </c>
      <c r="B447" s="2" t="s">
        <v>154</v>
      </c>
      <c r="C447" t="s">
        <v>155</v>
      </c>
      <c r="D447" t="s">
        <v>82</v>
      </c>
      <c r="E447" t="s">
        <v>34</v>
      </c>
      <c r="F447" t="s">
        <v>92</v>
      </c>
      <c r="G447" t="s">
        <v>22</v>
      </c>
      <c r="H447" t="s">
        <v>23</v>
      </c>
      <c r="I447" t="s">
        <v>23</v>
      </c>
      <c r="J447" t="s">
        <v>29</v>
      </c>
      <c r="K447" s="3">
        <v>15</v>
      </c>
      <c r="L447" s="3">
        <v>285.08999999999997</v>
      </c>
      <c r="M447" s="3">
        <v>4276.3500000000004</v>
      </c>
      <c r="N447" s="3">
        <v>3039.31</v>
      </c>
      <c r="O447" s="3">
        <v>1237.04</v>
      </c>
      <c r="P447" s="3">
        <v>4586.59</v>
      </c>
    </row>
    <row r="448" spans="1:16">
      <c r="A448" t="s">
        <v>759</v>
      </c>
      <c r="B448" s="2" t="s">
        <v>614</v>
      </c>
      <c r="C448" t="s">
        <v>81</v>
      </c>
      <c r="D448" t="s">
        <v>82</v>
      </c>
      <c r="E448" t="s">
        <v>34</v>
      </c>
      <c r="F448" t="s">
        <v>45</v>
      </c>
      <c r="G448" t="s">
        <v>41</v>
      </c>
      <c r="H448" t="s">
        <v>69</v>
      </c>
      <c r="I448" t="s">
        <v>69</v>
      </c>
      <c r="J448" t="s">
        <v>84</v>
      </c>
      <c r="K448" s="3">
        <v>15</v>
      </c>
      <c r="L448" s="3">
        <v>12.73</v>
      </c>
      <c r="M448" s="3">
        <v>190.95</v>
      </c>
      <c r="N448" s="3">
        <v>58.85</v>
      </c>
      <c r="O448" s="3">
        <v>132.1</v>
      </c>
      <c r="P448" s="3">
        <v>189.86</v>
      </c>
    </row>
    <row r="449" spans="1:16">
      <c r="A449" t="s">
        <v>760</v>
      </c>
      <c r="B449" s="2" t="s">
        <v>761</v>
      </c>
      <c r="C449" t="s">
        <v>114</v>
      </c>
      <c r="D449" t="s">
        <v>33</v>
      </c>
      <c r="E449" t="s">
        <v>20</v>
      </c>
      <c r="F449" t="s">
        <v>56</v>
      </c>
      <c r="G449" t="s">
        <v>41</v>
      </c>
      <c r="H449" t="s">
        <v>42</v>
      </c>
      <c r="I449" t="s">
        <v>42</v>
      </c>
      <c r="J449" t="s">
        <v>89</v>
      </c>
      <c r="K449" s="3">
        <v>1</v>
      </c>
      <c r="L449" s="3">
        <v>8.94</v>
      </c>
      <c r="M449" s="3">
        <v>8.94</v>
      </c>
      <c r="N449" s="3">
        <v>3.06</v>
      </c>
      <c r="O449" s="3">
        <v>5.88</v>
      </c>
      <c r="P449" s="3">
        <v>9.14</v>
      </c>
    </row>
    <row r="450" spans="1:16">
      <c r="A450" t="s">
        <v>762</v>
      </c>
      <c r="B450" s="2" t="s">
        <v>761</v>
      </c>
      <c r="C450" t="s">
        <v>114</v>
      </c>
      <c r="D450" t="s">
        <v>33</v>
      </c>
      <c r="E450" t="s">
        <v>64</v>
      </c>
      <c r="F450" t="s">
        <v>145</v>
      </c>
      <c r="G450" t="s">
        <v>46</v>
      </c>
      <c r="H450" t="s">
        <v>47</v>
      </c>
      <c r="I450" t="s">
        <v>47</v>
      </c>
      <c r="J450" t="s">
        <v>29</v>
      </c>
      <c r="K450" s="3">
        <v>18</v>
      </c>
      <c r="L450" s="3">
        <v>328.4</v>
      </c>
      <c r="M450" s="3">
        <v>5911.2</v>
      </c>
      <c r="N450" s="3">
        <v>3376.79</v>
      </c>
      <c r="O450" s="3">
        <v>2534.41</v>
      </c>
      <c r="P450" s="3">
        <v>5876.37</v>
      </c>
    </row>
    <row r="451" spans="1:16">
      <c r="A451" t="s">
        <v>763</v>
      </c>
      <c r="B451" s="2" t="s">
        <v>161</v>
      </c>
      <c r="C451" t="s">
        <v>102</v>
      </c>
      <c r="D451" t="s">
        <v>82</v>
      </c>
      <c r="E451" t="s">
        <v>73</v>
      </c>
      <c r="F451" t="s">
        <v>74</v>
      </c>
      <c r="G451" t="s">
        <v>41</v>
      </c>
      <c r="H451" t="s">
        <v>69</v>
      </c>
      <c r="I451" t="s">
        <v>69</v>
      </c>
      <c r="J451" t="s">
        <v>52</v>
      </c>
      <c r="K451" s="3">
        <v>14</v>
      </c>
      <c r="L451" s="3">
        <v>11.43</v>
      </c>
      <c r="M451" s="3">
        <v>160.02000000000001</v>
      </c>
      <c r="N451" s="3">
        <v>56.7</v>
      </c>
      <c r="O451" s="3">
        <v>103.32</v>
      </c>
      <c r="P451" s="3">
        <v>164.95</v>
      </c>
    </row>
    <row r="452" spans="1:16">
      <c r="A452" t="s">
        <v>764</v>
      </c>
      <c r="B452" s="2" t="s">
        <v>616</v>
      </c>
      <c r="C452" t="s">
        <v>114</v>
      </c>
      <c r="D452" t="s">
        <v>33</v>
      </c>
      <c r="E452" t="s">
        <v>34</v>
      </c>
      <c r="F452" t="s">
        <v>92</v>
      </c>
      <c r="G452" t="s">
        <v>22</v>
      </c>
      <c r="H452" t="s">
        <v>95</v>
      </c>
      <c r="I452" t="s">
        <v>95</v>
      </c>
      <c r="J452" t="s">
        <v>89</v>
      </c>
      <c r="K452" s="3">
        <v>10</v>
      </c>
      <c r="L452" s="3">
        <v>608.71</v>
      </c>
      <c r="M452" s="3">
        <v>6087.1</v>
      </c>
      <c r="N452" s="3">
        <v>4997.3900000000003</v>
      </c>
      <c r="O452" s="3">
        <v>1089.71</v>
      </c>
      <c r="P452" s="3">
        <v>6144.14</v>
      </c>
    </row>
    <row r="453" spans="1:16">
      <c r="A453" t="s">
        <v>765</v>
      </c>
      <c r="B453" s="2" t="s">
        <v>535</v>
      </c>
      <c r="C453" t="s">
        <v>114</v>
      </c>
      <c r="D453" t="s">
        <v>33</v>
      </c>
      <c r="E453" t="s">
        <v>64</v>
      </c>
      <c r="F453" t="s">
        <v>105</v>
      </c>
      <c r="G453" t="s">
        <v>41</v>
      </c>
      <c r="H453" t="s">
        <v>86</v>
      </c>
      <c r="I453" t="s">
        <v>86</v>
      </c>
      <c r="J453" t="s">
        <v>52</v>
      </c>
      <c r="K453" s="3">
        <v>18</v>
      </c>
      <c r="L453" s="3">
        <v>16.75</v>
      </c>
      <c r="M453" s="3">
        <v>301.5</v>
      </c>
      <c r="N453" s="3">
        <v>137.12</v>
      </c>
      <c r="O453" s="3">
        <v>164.38</v>
      </c>
      <c r="P453" s="3">
        <v>358.88</v>
      </c>
    </row>
    <row r="454" spans="1:16">
      <c r="A454" t="s">
        <v>766</v>
      </c>
      <c r="B454" s="2" t="s">
        <v>767</v>
      </c>
      <c r="C454" t="s">
        <v>114</v>
      </c>
      <c r="D454" t="s">
        <v>33</v>
      </c>
      <c r="E454" t="s">
        <v>64</v>
      </c>
      <c r="F454" t="s">
        <v>103</v>
      </c>
      <c r="G454" t="s">
        <v>22</v>
      </c>
      <c r="H454" t="s">
        <v>95</v>
      </c>
      <c r="I454" t="s">
        <v>95</v>
      </c>
      <c r="J454" t="s">
        <v>89</v>
      </c>
      <c r="K454" s="3">
        <v>16</v>
      </c>
      <c r="L454" s="3">
        <v>604.59</v>
      </c>
      <c r="M454" s="3">
        <v>9673.44</v>
      </c>
      <c r="N454" s="3">
        <v>8084.7</v>
      </c>
      <c r="O454" s="3">
        <v>1588.74</v>
      </c>
      <c r="P454" s="3">
        <v>9645.24</v>
      </c>
    </row>
    <row r="455" spans="1:16">
      <c r="A455" t="s">
        <v>768</v>
      </c>
      <c r="B455" s="2" t="s">
        <v>769</v>
      </c>
      <c r="C455" t="s">
        <v>142</v>
      </c>
      <c r="D455" t="s">
        <v>33</v>
      </c>
      <c r="E455" t="s">
        <v>20</v>
      </c>
      <c r="F455" t="s">
        <v>21</v>
      </c>
      <c r="G455" t="s">
        <v>22</v>
      </c>
      <c r="H455" t="s">
        <v>23</v>
      </c>
      <c r="I455" t="s">
        <v>23</v>
      </c>
      <c r="J455" t="s">
        <v>57</v>
      </c>
      <c r="K455" s="3">
        <v>13</v>
      </c>
      <c r="L455" s="3">
        <v>255.14</v>
      </c>
      <c r="M455" s="3">
        <v>3316.82</v>
      </c>
      <c r="N455" s="3">
        <v>2488.56</v>
      </c>
      <c r="O455" s="3">
        <v>828.26</v>
      </c>
      <c r="P455" s="3">
        <v>3365.08</v>
      </c>
    </row>
    <row r="456" spans="1:16">
      <c r="A456" t="s">
        <v>770</v>
      </c>
      <c r="B456" s="2" t="s">
        <v>692</v>
      </c>
      <c r="C456" t="s">
        <v>114</v>
      </c>
      <c r="D456" t="s">
        <v>33</v>
      </c>
      <c r="E456" t="s">
        <v>64</v>
      </c>
      <c r="F456" t="s">
        <v>103</v>
      </c>
      <c r="G456" t="s">
        <v>22</v>
      </c>
      <c r="H456" t="s">
        <v>23</v>
      </c>
      <c r="I456" t="s">
        <v>23</v>
      </c>
      <c r="J456" t="s">
        <v>57</v>
      </c>
      <c r="K456" s="3">
        <v>15</v>
      </c>
      <c r="L456" s="3">
        <v>273.55</v>
      </c>
      <c r="M456" s="3">
        <v>4103.25</v>
      </c>
      <c r="N456" s="3">
        <v>2924.15</v>
      </c>
      <c r="O456" s="3">
        <v>1179.0999999999999</v>
      </c>
      <c r="P456" s="3">
        <v>4916.05</v>
      </c>
    </row>
    <row r="457" spans="1:16">
      <c r="A457" t="s">
        <v>771</v>
      </c>
      <c r="B457" s="2" t="s">
        <v>417</v>
      </c>
      <c r="C457" t="s">
        <v>155</v>
      </c>
      <c r="D457" t="s">
        <v>82</v>
      </c>
      <c r="E457" t="s">
        <v>20</v>
      </c>
      <c r="F457" t="s">
        <v>56</v>
      </c>
      <c r="G457" t="s">
        <v>41</v>
      </c>
      <c r="H457" t="s">
        <v>51</v>
      </c>
      <c r="I457" t="s">
        <v>51</v>
      </c>
      <c r="J457" t="s">
        <v>70</v>
      </c>
      <c r="K457" s="3">
        <v>10</v>
      </c>
      <c r="L457" s="3">
        <v>22.8</v>
      </c>
      <c r="M457" s="3">
        <v>228</v>
      </c>
      <c r="N457" s="3">
        <v>104.36</v>
      </c>
      <c r="O457" s="3">
        <v>123.64</v>
      </c>
      <c r="P457" s="3">
        <v>206.46</v>
      </c>
    </row>
    <row r="458" spans="1:16">
      <c r="A458" t="s">
        <v>772</v>
      </c>
      <c r="B458" s="2" t="s">
        <v>662</v>
      </c>
      <c r="C458" t="s">
        <v>55</v>
      </c>
      <c r="D458" t="s">
        <v>19</v>
      </c>
      <c r="E458" t="s">
        <v>20</v>
      </c>
      <c r="F458" t="s">
        <v>21</v>
      </c>
      <c r="G458" t="s">
        <v>41</v>
      </c>
      <c r="H458" t="s">
        <v>42</v>
      </c>
      <c r="I458" t="s">
        <v>42</v>
      </c>
      <c r="J458" t="s">
        <v>24</v>
      </c>
      <c r="K458" s="3">
        <v>2</v>
      </c>
      <c r="L458" s="3">
        <v>8.4600000000000009</v>
      </c>
      <c r="M458" s="3">
        <v>16.920000000000002</v>
      </c>
      <c r="N458" s="3">
        <v>6.22</v>
      </c>
      <c r="O458" s="3">
        <v>10.7</v>
      </c>
      <c r="P458" s="3">
        <v>15.67</v>
      </c>
    </row>
    <row r="459" spans="1:16">
      <c r="A459" t="s">
        <v>773</v>
      </c>
      <c r="B459" s="2" t="s">
        <v>63</v>
      </c>
      <c r="C459" t="s">
        <v>32</v>
      </c>
      <c r="D459" t="s">
        <v>33</v>
      </c>
      <c r="E459" t="s">
        <v>64</v>
      </c>
      <c r="F459" t="s">
        <v>145</v>
      </c>
      <c r="G459" t="s">
        <v>22</v>
      </c>
      <c r="H459" t="s">
        <v>23</v>
      </c>
      <c r="I459" t="s">
        <v>23</v>
      </c>
      <c r="J459" t="s">
        <v>70</v>
      </c>
      <c r="K459" s="3">
        <v>19</v>
      </c>
      <c r="L459" s="3">
        <v>296.49</v>
      </c>
      <c r="M459" s="3">
        <v>5633.31</v>
      </c>
      <c r="N459" s="3">
        <v>3655.47</v>
      </c>
      <c r="O459" s="3">
        <v>1977.84</v>
      </c>
      <c r="P459" s="3">
        <v>6344.24</v>
      </c>
    </row>
    <row r="460" spans="1:16">
      <c r="A460" t="s">
        <v>774</v>
      </c>
      <c r="B460" s="2" t="s">
        <v>445</v>
      </c>
      <c r="C460" t="s">
        <v>108</v>
      </c>
      <c r="D460" t="s">
        <v>40</v>
      </c>
      <c r="E460" t="s">
        <v>64</v>
      </c>
      <c r="F460" t="s">
        <v>105</v>
      </c>
      <c r="G460" t="s">
        <v>41</v>
      </c>
      <c r="H460" t="s">
        <v>86</v>
      </c>
      <c r="I460" t="s">
        <v>86</v>
      </c>
      <c r="J460" t="s">
        <v>70</v>
      </c>
      <c r="K460" s="3">
        <v>16</v>
      </c>
      <c r="L460" s="3">
        <v>17.100000000000001</v>
      </c>
      <c r="M460" s="3">
        <v>273.60000000000002</v>
      </c>
      <c r="N460" s="3">
        <v>122.77</v>
      </c>
      <c r="O460" s="3">
        <v>150.83000000000001</v>
      </c>
      <c r="P460" s="3">
        <v>291.8</v>
      </c>
    </row>
    <row r="461" spans="1:16">
      <c r="A461" t="s">
        <v>775</v>
      </c>
      <c r="B461" s="2" t="s">
        <v>776</v>
      </c>
      <c r="C461" t="s">
        <v>108</v>
      </c>
      <c r="D461" t="s">
        <v>40</v>
      </c>
      <c r="E461" t="s">
        <v>73</v>
      </c>
      <c r="F461" t="s">
        <v>83</v>
      </c>
      <c r="G461" t="s">
        <v>22</v>
      </c>
      <c r="H461" t="s">
        <v>36</v>
      </c>
      <c r="I461" t="s">
        <v>36</v>
      </c>
      <c r="J461" t="s">
        <v>89</v>
      </c>
      <c r="K461" s="3">
        <v>18</v>
      </c>
      <c r="L461" s="3">
        <v>89.92</v>
      </c>
      <c r="M461" s="3">
        <v>1618.56</v>
      </c>
      <c r="N461" s="3">
        <v>1111.1600000000001</v>
      </c>
      <c r="O461" s="3">
        <v>507.4</v>
      </c>
      <c r="P461" s="3">
        <v>1804.44</v>
      </c>
    </row>
    <row r="462" spans="1:16">
      <c r="A462" t="s">
        <v>777</v>
      </c>
      <c r="B462" s="2" t="s">
        <v>197</v>
      </c>
      <c r="C462" t="s">
        <v>55</v>
      </c>
      <c r="D462" t="s">
        <v>19</v>
      </c>
      <c r="E462" t="s">
        <v>20</v>
      </c>
      <c r="F462" t="s">
        <v>50</v>
      </c>
      <c r="G462" t="s">
        <v>41</v>
      </c>
      <c r="H462" t="s">
        <v>69</v>
      </c>
      <c r="I462" t="s">
        <v>69</v>
      </c>
      <c r="J462" t="s">
        <v>52</v>
      </c>
      <c r="K462" s="3">
        <v>2</v>
      </c>
      <c r="L462" s="3">
        <v>11.4</v>
      </c>
      <c r="M462" s="3">
        <v>22.8</v>
      </c>
      <c r="N462" s="3">
        <v>7.99</v>
      </c>
      <c r="O462" s="3">
        <v>14.81</v>
      </c>
      <c r="P462" s="3">
        <v>22.87</v>
      </c>
    </row>
    <row r="463" spans="1:16">
      <c r="A463" t="s">
        <v>778</v>
      </c>
      <c r="B463" s="2" t="s">
        <v>779</v>
      </c>
      <c r="C463" t="s">
        <v>81</v>
      </c>
      <c r="D463" t="s">
        <v>82</v>
      </c>
      <c r="E463" t="s">
        <v>64</v>
      </c>
      <c r="F463" t="s">
        <v>105</v>
      </c>
      <c r="G463" t="s">
        <v>46</v>
      </c>
      <c r="H463" t="s">
        <v>47</v>
      </c>
      <c r="I463" t="s">
        <v>47</v>
      </c>
      <c r="J463" t="s">
        <v>84</v>
      </c>
      <c r="K463" s="3">
        <v>11</v>
      </c>
      <c r="L463" s="3">
        <v>312.7</v>
      </c>
      <c r="M463" s="3">
        <v>3439.7</v>
      </c>
      <c r="N463" s="3">
        <v>2138.5700000000002</v>
      </c>
      <c r="O463" s="3">
        <v>1301.1300000000001</v>
      </c>
      <c r="P463" s="3">
        <v>3255.21</v>
      </c>
    </row>
    <row r="464" spans="1:16">
      <c r="A464" t="s">
        <v>780</v>
      </c>
      <c r="B464" s="2" t="s">
        <v>540</v>
      </c>
      <c r="C464" t="s">
        <v>39</v>
      </c>
      <c r="D464" t="s">
        <v>40</v>
      </c>
      <c r="E464" t="s">
        <v>73</v>
      </c>
      <c r="F464" t="s">
        <v>74</v>
      </c>
      <c r="G464" t="s">
        <v>41</v>
      </c>
      <c r="H464" t="s">
        <v>42</v>
      </c>
      <c r="I464" t="s">
        <v>42</v>
      </c>
      <c r="J464" t="s">
        <v>29</v>
      </c>
      <c r="K464" s="3">
        <v>15</v>
      </c>
      <c r="L464" s="3">
        <v>9.07</v>
      </c>
      <c r="M464" s="3">
        <v>136.05000000000001</v>
      </c>
      <c r="N464" s="3">
        <v>42.75</v>
      </c>
      <c r="O464" s="3">
        <v>93.3</v>
      </c>
      <c r="P464" s="3">
        <v>146.02000000000001</v>
      </c>
    </row>
    <row r="465" spans="1:16">
      <c r="A465" t="s">
        <v>781</v>
      </c>
      <c r="B465" s="2" t="s">
        <v>410</v>
      </c>
      <c r="C465" t="s">
        <v>55</v>
      </c>
      <c r="D465" t="s">
        <v>19</v>
      </c>
      <c r="E465" t="s">
        <v>20</v>
      </c>
      <c r="F465" t="s">
        <v>21</v>
      </c>
      <c r="G465" t="s">
        <v>46</v>
      </c>
      <c r="H465" t="s">
        <v>47</v>
      </c>
      <c r="I465" t="s">
        <v>47</v>
      </c>
      <c r="J465" t="s">
        <v>29</v>
      </c>
      <c r="K465" s="3">
        <v>3</v>
      </c>
      <c r="L465" s="3">
        <v>298.88</v>
      </c>
      <c r="M465" s="3">
        <v>896.64</v>
      </c>
      <c r="N465" s="3">
        <v>579.02</v>
      </c>
      <c r="O465" s="3">
        <v>317.62</v>
      </c>
      <c r="P465" s="3">
        <v>931.28</v>
      </c>
    </row>
    <row r="466" spans="1:16">
      <c r="A466" t="s">
        <v>782</v>
      </c>
      <c r="B466" s="2" t="s">
        <v>783</v>
      </c>
      <c r="C466" t="s">
        <v>32</v>
      </c>
      <c r="D466" t="s">
        <v>33</v>
      </c>
      <c r="E466" t="s">
        <v>64</v>
      </c>
      <c r="F466" t="s">
        <v>105</v>
      </c>
      <c r="G466" t="s">
        <v>46</v>
      </c>
      <c r="H466" t="s">
        <v>78</v>
      </c>
      <c r="I466" t="s">
        <v>78</v>
      </c>
      <c r="J466" t="s">
        <v>24</v>
      </c>
      <c r="K466" s="3">
        <v>11</v>
      </c>
      <c r="L466" s="3">
        <v>188.08</v>
      </c>
      <c r="M466" s="3">
        <v>2068.88</v>
      </c>
      <c r="N466" s="3">
        <v>1268.58</v>
      </c>
      <c r="O466" s="3">
        <v>800.3</v>
      </c>
      <c r="P466" s="3">
        <v>2137.4</v>
      </c>
    </row>
    <row r="467" spans="1:16">
      <c r="A467" t="s">
        <v>784</v>
      </c>
      <c r="B467" s="2" t="s">
        <v>251</v>
      </c>
      <c r="C467" t="s">
        <v>108</v>
      </c>
      <c r="D467" t="s">
        <v>40</v>
      </c>
      <c r="E467" t="s">
        <v>73</v>
      </c>
      <c r="F467" t="s">
        <v>137</v>
      </c>
      <c r="G467" t="s">
        <v>22</v>
      </c>
      <c r="H467" t="s">
        <v>23</v>
      </c>
      <c r="I467" t="s">
        <v>23</v>
      </c>
      <c r="J467" t="s">
        <v>29</v>
      </c>
      <c r="K467" s="3">
        <v>7</v>
      </c>
      <c r="L467" s="3">
        <v>258</v>
      </c>
      <c r="M467" s="3">
        <v>1806</v>
      </c>
      <c r="N467" s="3">
        <v>1343.83</v>
      </c>
      <c r="O467" s="3">
        <v>462.17</v>
      </c>
      <c r="P467" s="3">
        <v>1896.04</v>
      </c>
    </row>
    <row r="468" spans="1:16">
      <c r="A468" t="s">
        <v>785</v>
      </c>
      <c r="B468" s="2" t="s">
        <v>705</v>
      </c>
      <c r="C468" t="s">
        <v>18</v>
      </c>
      <c r="D468" t="s">
        <v>19</v>
      </c>
      <c r="E468" t="s">
        <v>34</v>
      </c>
      <c r="F468" t="s">
        <v>35</v>
      </c>
      <c r="G468" t="s">
        <v>41</v>
      </c>
      <c r="H468" t="s">
        <v>69</v>
      </c>
      <c r="I468" t="s">
        <v>69</v>
      </c>
      <c r="J468" t="s">
        <v>89</v>
      </c>
      <c r="K468" s="3">
        <v>3</v>
      </c>
      <c r="L468" s="3">
        <v>12.25</v>
      </c>
      <c r="M468" s="3">
        <v>36.75</v>
      </c>
      <c r="N468" s="3">
        <v>11.42</v>
      </c>
      <c r="O468" s="3">
        <v>25.33</v>
      </c>
      <c r="P468" s="3">
        <v>43.08</v>
      </c>
    </row>
    <row r="469" spans="1:16">
      <c r="A469" t="s">
        <v>786</v>
      </c>
      <c r="B469" s="2" t="s">
        <v>787</v>
      </c>
      <c r="C469" t="s">
        <v>39</v>
      </c>
      <c r="D469" t="s">
        <v>40</v>
      </c>
      <c r="E469" t="s">
        <v>20</v>
      </c>
      <c r="F469" t="s">
        <v>21</v>
      </c>
      <c r="G469" t="s">
        <v>46</v>
      </c>
      <c r="H469" t="s">
        <v>66</v>
      </c>
      <c r="I469" t="s">
        <v>66</v>
      </c>
      <c r="J469" t="s">
        <v>70</v>
      </c>
      <c r="K469" s="3">
        <v>2</v>
      </c>
      <c r="L469" s="3">
        <v>276.75</v>
      </c>
      <c r="M469" s="3">
        <v>553.5</v>
      </c>
      <c r="N469" s="3">
        <v>330.36</v>
      </c>
      <c r="O469" s="3">
        <v>223.14</v>
      </c>
      <c r="P469" s="3">
        <v>521.97</v>
      </c>
    </row>
    <row r="470" spans="1:16">
      <c r="A470" t="s">
        <v>788</v>
      </c>
      <c r="B470" s="2" t="s">
        <v>579</v>
      </c>
      <c r="C470" t="s">
        <v>55</v>
      </c>
      <c r="D470" t="s">
        <v>19</v>
      </c>
      <c r="E470" t="s">
        <v>34</v>
      </c>
      <c r="F470" t="s">
        <v>35</v>
      </c>
      <c r="G470" t="s">
        <v>22</v>
      </c>
      <c r="H470" t="s">
        <v>95</v>
      </c>
      <c r="I470" t="s">
        <v>95</v>
      </c>
      <c r="J470" t="s">
        <v>57</v>
      </c>
      <c r="K470" s="3">
        <v>8</v>
      </c>
      <c r="L470" s="3">
        <v>598.16</v>
      </c>
      <c r="M470" s="3">
        <v>4785.28</v>
      </c>
      <c r="N470" s="3">
        <v>4173.17</v>
      </c>
      <c r="O470" s="3">
        <v>612.11</v>
      </c>
      <c r="P470" s="3">
        <v>4384.8100000000004</v>
      </c>
    </row>
    <row r="471" spans="1:16">
      <c r="A471" t="s">
        <v>789</v>
      </c>
      <c r="B471" s="2" t="s">
        <v>604</v>
      </c>
      <c r="C471" t="s">
        <v>27</v>
      </c>
      <c r="D471" t="s">
        <v>19</v>
      </c>
      <c r="E471" t="s">
        <v>73</v>
      </c>
      <c r="F471" t="s">
        <v>74</v>
      </c>
      <c r="G471" t="s">
        <v>46</v>
      </c>
      <c r="H471" t="s">
        <v>75</v>
      </c>
      <c r="I471" t="s">
        <v>75</v>
      </c>
      <c r="J471" t="s">
        <v>29</v>
      </c>
      <c r="K471" s="3">
        <v>19</v>
      </c>
      <c r="L471" s="3">
        <v>442.37</v>
      </c>
      <c r="M471" s="3">
        <v>8405.0300000000007</v>
      </c>
      <c r="N471" s="3">
        <v>5244.44</v>
      </c>
      <c r="O471" s="3">
        <v>3160.59</v>
      </c>
      <c r="P471" s="3">
        <v>8493.7199999999993</v>
      </c>
    </row>
    <row r="472" spans="1:16">
      <c r="A472" t="s">
        <v>790</v>
      </c>
      <c r="B472" s="2" t="s">
        <v>791</v>
      </c>
      <c r="C472" t="s">
        <v>39</v>
      </c>
      <c r="D472" t="s">
        <v>40</v>
      </c>
      <c r="E472" t="s">
        <v>73</v>
      </c>
      <c r="F472" t="s">
        <v>74</v>
      </c>
      <c r="G472" t="s">
        <v>46</v>
      </c>
      <c r="H472" t="s">
        <v>78</v>
      </c>
      <c r="I472" t="s">
        <v>78</v>
      </c>
      <c r="J472" t="s">
        <v>61</v>
      </c>
      <c r="K472" s="3">
        <v>18</v>
      </c>
      <c r="L472" s="3">
        <v>201.14</v>
      </c>
      <c r="M472" s="3">
        <v>3620.52</v>
      </c>
      <c r="N472" s="3">
        <v>2267.66</v>
      </c>
      <c r="O472" s="3">
        <v>1352.86</v>
      </c>
      <c r="P472" s="3">
        <v>3638.82</v>
      </c>
    </row>
    <row r="473" spans="1:16">
      <c r="A473" t="s">
        <v>792</v>
      </c>
      <c r="B473" s="2" t="s">
        <v>654</v>
      </c>
      <c r="C473" t="s">
        <v>142</v>
      </c>
      <c r="D473" t="s">
        <v>33</v>
      </c>
      <c r="E473" t="s">
        <v>34</v>
      </c>
      <c r="F473" t="s">
        <v>45</v>
      </c>
      <c r="G473" t="s">
        <v>41</v>
      </c>
      <c r="H473" t="s">
        <v>51</v>
      </c>
      <c r="I473" t="s">
        <v>51</v>
      </c>
      <c r="J473" t="s">
        <v>57</v>
      </c>
      <c r="K473" s="3">
        <v>11</v>
      </c>
      <c r="L473" s="3">
        <v>23.44</v>
      </c>
      <c r="M473" s="3">
        <v>257.83999999999997</v>
      </c>
      <c r="N473" s="3">
        <v>111.19</v>
      </c>
      <c r="O473" s="3">
        <v>146.65</v>
      </c>
      <c r="P473" s="3">
        <v>269.98</v>
      </c>
    </row>
    <row r="474" spans="1:16">
      <c r="A474" t="s">
        <v>793</v>
      </c>
      <c r="B474" s="2" t="s">
        <v>460</v>
      </c>
      <c r="C474" t="s">
        <v>102</v>
      </c>
      <c r="D474" t="s">
        <v>82</v>
      </c>
      <c r="E474" t="s">
        <v>34</v>
      </c>
      <c r="F474" t="s">
        <v>45</v>
      </c>
      <c r="G474" t="s">
        <v>41</v>
      </c>
      <c r="H474" t="s">
        <v>51</v>
      </c>
      <c r="I474" t="s">
        <v>51</v>
      </c>
      <c r="J474" t="s">
        <v>70</v>
      </c>
      <c r="K474" s="3">
        <v>1</v>
      </c>
      <c r="L474" s="3">
        <v>24.02</v>
      </c>
      <c r="M474" s="3">
        <v>24.02</v>
      </c>
      <c r="N474" s="3">
        <v>10.23</v>
      </c>
      <c r="O474" s="3">
        <v>13.79</v>
      </c>
      <c r="P474" s="3">
        <v>28.68</v>
      </c>
    </row>
    <row r="475" spans="1:16">
      <c r="A475" t="s">
        <v>794</v>
      </c>
      <c r="B475" s="2" t="s">
        <v>313</v>
      </c>
      <c r="C475" t="s">
        <v>81</v>
      </c>
      <c r="D475" t="s">
        <v>82</v>
      </c>
      <c r="E475" t="s">
        <v>34</v>
      </c>
      <c r="F475" t="s">
        <v>35</v>
      </c>
      <c r="G475" t="s">
        <v>41</v>
      </c>
      <c r="H475" t="s">
        <v>69</v>
      </c>
      <c r="I475" t="s">
        <v>69</v>
      </c>
      <c r="J475" t="s">
        <v>52</v>
      </c>
      <c r="K475" s="3">
        <v>11</v>
      </c>
      <c r="L475" s="3">
        <v>11.32</v>
      </c>
      <c r="M475" s="3">
        <v>124.52</v>
      </c>
      <c r="N475" s="3">
        <v>41.9</v>
      </c>
      <c r="O475" s="3">
        <v>82.62</v>
      </c>
      <c r="P475" s="3">
        <v>141.66</v>
      </c>
    </row>
    <row r="476" spans="1:16">
      <c r="A476" t="s">
        <v>795</v>
      </c>
      <c r="B476" s="2" t="s">
        <v>499</v>
      </c>
      <c r="C476" t="s">
        <v>81</v>
      </c>
      <c r="D476" t="s">
        <v>82</v>
      </c>
      <c r="E476" t="s">
        <v>73</v>
      </c>
      <c r="F476" t="s">
        <v>83</v>
      </c>
      <c r="G476" t="s">
        <v>22</v>
      </c>
      <c r="H476" t="s">
        <v>36</v>
      </c>
      <c r="I476" t="s">
        <v>36</v>
      </c>
      <c r="J476" t="s">
        <v>57</v>
      </c>
      <c r="K476" s="3">
        <v>5</v>
      </c>
      <c r="L476" s="3">
        <v>92.26</v>
      </c>
      <c r="M476" s="3">
        <v>461.3</v>
      </c>
      <c r="N476" s="3">
        <v>292.95</v>
      </c>
      <c r="O476" s="3">
        <v>168.35</v>
      </c>
      <c r="P476" s="3">
        <v>535.74</v>
      </c>
    </row>
    <row r="477" spans="1:16">
      <c r="A477" t="s">
        <v>796</v>
      </c>
      <c r="B477" s="2" t="s">
        <v>797</v>
      </c>
      <c r="C477" t="s">
        <v>32</v>
      </c>
      <c r="D477" t="s">
        <v>33</v>
      </c>
      <c r="E477" t="s">
        <v>34</v>
      </c>
      <c r="F477" t="s">
        <v>35</v>
      </c>
      <c r="G477" t="s">
        <v>46</v>
      </c>
      <c r="H477" t="s">
        <v>66</v>
      </c>
      <c r="I477" t="s">
        <v>66</v>
      </c>
      <c r="J477" t="s">
        <v>89</v>
      </c>
      <c r="K477" s="3">
        <v>7</v>
      </c>
      <c r="L477" s="3">
        <v>263.58999999999997</v>
      </c>
      <c r="M477" s="3">
        <v>1845.13</v>
      </c>
      <c r="N477" s="3">
        <v>1146.24</v>
      </c>
      <c r="O477" s="3">
        <v>698.89</v>
      </c>
      <c r="P477" s="3">
        <v>2035.65</v>
      </c>
    </row>
    <row r="478" spans="1:16">
      <c r="A478" t="s">
        <v>798</v>
      </c>
      <c r="B478" s="2" t="s">
        <v>799</v>
      </c>
      <c r="C478" t="s">
        <v>111</v>
      </c>
      <c r="D478" t="s">
        <v>40</v>
      </c>
      <c r="E478" t="s">
        <v>20</v>
      </c>
      <c r="F478" t="s">
        <v>21</v>
      </c>
      <c r="G478" t="s">
        <v>22</v>
      </c>
      <c r="H478" t="s">
        <v>36</v>
      </c>
      <c r="I478" t="s">
        <v>36</v>
      </c>
      <c r="J478" t="s">
        <v>29</v>
      </c>
      <c r="K478" s="3">
        <v>2</v>
      </c>
      <c r="L478" s="3">
        <v>86.99</v>
      </c>
      <c r="M478" s="3">
        <v>173.98</v>
      </c>
      <c r="N478" s="3">
        <v>125.06</v>
      </c>
      <c r="O478" s="3">
        <v>48.92</v>
      </c>
      <c r="P478" s="3">
        <v>168.24</v>
      </c>
    </row>
    <row r="479" spans="1:16">
      <c r="A479" t="s">
        <v>800</v>
      </c>
      <c r="B479" s="2" t="s">
        <v>340</v>
      </c>
      <c r="C479" t="s">
        <v>102</v>
      </c>
      <c r="D479" t="s">
        <v>82</v>
      </c>
      <c r="E479" t="s">
        <v>20</v>
      </c>
      <c r="F479" t="s">
        <v>56</v>
      </c>
      <c r="G479" t="s">
        <v>46</v>
      </c>
      <c r="H479" t="s">
        <v>75</v>
      </c>
      <c r="I479" t="s">
        <v>75</v>
      </c>
      <c r="J479" t="s">
        <v>61</v>
      </c>
      <c r="K479" s="3">
        <v>13</v>
      </c>
      <c r="L479" s="3">
        <v>431.25</v>
      </c>
      <c r="M479" s="3">
        <v>5606.25</v>
      </c>
      <c r="N479" s="3">
        <v>3477.7</v>
      </c>
      <c r="O479" s="3">
        <v>2128.5500000000002</v>
      </c>
      <c r="P479" s="3">
        <v>5794.25</v>
      </c>
    </row>
    <row r="480" spans="1:16">
      <c r="A480" t="s">
        <v>801</v>
      </c>
      <c r="B480" s="2" t="s">
        <v>518</v>
      </c>
      <c r="C480" t="s">
        <v>81</v>
      </c>
      <c r="D480" t="s">
        <v>82</v>
      </c>
      <c r="E480" t="s">
        <v>73</v>
      </c>
      <c r="F480" t="s">
        <v>128</v>
      </c>
      <c r="G480" t="s">
        <v>46</v>
      </c>
      <c r="H480" t="s">
        <v>47</v>
      </c>
      <c r="I480" t="s">
        <v>47</v>
      </c>
      <c r="J480" t="s">
        <v>24</v>
      </c>
      <c r="K480" s="3">
        <v>13</v>
      </c>
      <c r="L480" s="3">
        <v>288.5</v>
      </c>
      <c r="M480" s="3">
        <v>3750.5</v>
      </c>
      <c r="N480" s="3">
        <v>2586.35</v>
      </c>
      <c r="O480" s="3">
        <v>1164.1500000000001</v>
      </c>
      <c r="P480" s="3">
        <v>4176.16</v>
      </c>
    </row>
    <row r="481" spans="1:16">
      <c r="A481" t="s">
        <v>802</v>
      </c>
      <c r="B481" s="2" t="s">
        <v>152</v>
      </c>
      <c r="C481" t="s">
        <v>32</v>
      </c>
      <c r="D481" t="s">
        <v>33</v>
      </c>
      <c r="E481" t="s">
        <v>34</v>
      </c>
      <c r="F481" t="s">
        <v>92</v>
      </c>
      <c r="G481" t="s">
        <v>22</v>
      </c>
      <c r="H481" t="s">
        <v>23</v>
      </c>
      <c r="I481" t="s">
        <v>23</v>
      </c>
      <c r="J481" t="s">
        <v>29</v>
      </c>
      <c r="K481" s="3">
        <v>16</v>
      </c>
      <c r="L481" s="3">
        <v>270.83</v>
      </c>
      <c r="M481" s="3">
        <v>4333.28</v>
      </c>
      <c r="N481" s="3">
        <v>3222.86</v>
      </c>
      <c r="O481" s="3">
        <v>1110.42</v>
      </c>
      <c r="P481" s="3">
        <v>3758.08</v>
      </c>
    </row>
    <row r="482" spans="1:16">
      <c r="A482" t="s">
        <v>803</v>
      </c>
      <c r="B482" s="2" t="s">
        <v>528</v>
      </c>
      <c r="C482" t="s">
        <v>114</v>
      </c>
      <c r="D482" t="s">
        <v>33</v>
      </c>
      <c r="E482" t="s">
        <v>64</v>
      </c>
      <c r="F482" t="s">
        <v>65</v>
      </c>
      <c r="G482" t="s">
        <v>46</v>
      </c>
      <c r="H482" t="s">
        <v>47</v>
      </c>
      <c r="I482" t="s">
        <v>47</v>
      </c>
      <c r="J482" t="s">
        <v>57</v>
      </c>
      <c r="K482" s="3">
        <v>16</v>
      </c>
      <c r="L482" s="3">
        <v>326.25</v>
      </c>
      <c r="M482" s="3">
        <v>5220</v>
      </c>
      <c r="N482" s="3">
        <v>3058.03</v>
      </c>
      <c r="O482" s="3">
        <v>2161.9699999999998</v>
      </c>
      <c r="P482" s="3">
        <v>5328.32</v>
      </c>
    </row>
    <row r="483" spans="1:16">
      <c r="A483" t="s">
        <v>804</v>
      </c>
      <c r="B483" s="2" t="s">
        <v>805</v>
      </c>
      <c r="C483" t="s">
        <v>81</v>
      </c>
      <c r="D483" t="s">
        <v>82</v>
      </c>
      <c r="E483" t="s">
        <v>73</v>
      </c>
      <c r="F483" t="s">
        <v>137</v>
      </c>
      <c r="G483" t="s">
        <v>22</v>
      </c>
      <c r="H483" t="s">
        <v>60</v>
      </c>
      <c r="I483" t="s">
        <v>60</v>
      </c>
      <c r="J483" t="s">
        <v>24</v>
      </c>
      <c r="K483" s="3">
        <v>11</v>
      </c>
      <c r="L483" s="3">
        <v>58.04</v>
      </c>
      <c r="M483" s="3">
        <v>638.44000000000005</v>
      </c>
      <c r="N483" s="3">
        <v>336.1</v>
      </c>
      <c r="O483" s="3">
        <v>302.33999999999997</v>
      </c>
      <c r="P483" s="3">
        <v>671.39</v>
      </c>
    </row>
    <row r="484" spans="1:16">
      <c r="A484" t="s">
        <v>806</v>
      </c>
      <c r="B484" s="2" t="s">
        <v>130</v>
      </c>
      <c r="C484" t="s">
        <v>18</v>
      </c>
      <c r="D484" t="s">
        <v>19</v>
      </c>
      <c r="E484" t="s">
        <v>64</v>
      </c>
      <c r="F484" t="s">
        <v>145</v>
      </c>
      <c r="G484" t="s">
        <v>41</v>
      </c>
      <c r="H484" t="s">
        <v>69</v>
      </c>
      <c r="I484" t="s">
        <v>69</v>
      </c>
      <c r="J484" t="s">
        <v>84</v>
      </c>
      <c r="K484" s="3">
        <v>20</v>
      </c>
      <c r="L484" s="3">
        <v>11.57</v>
      </c>
      <c r="M484" s="3">
        <v>231.4</v>
      </c>
      <c r="N484" s="3">
        <v>81.239999999999995</v>
      </c>
      <c r="O484" s="3">
        <v>150.16</v>
      </c>
      <c r="P484" s="3">
        <v>259.02999999999997</v>
      </c>
    </row>
    <row r="485" spans="1:16">
      <c r="A485" t="s">
        <v>807</v>
      </c>
      <c r="B485" s="2" t="s">
        <v>673</v>
      </c>
      <c r="C485" t="s">
        <v>142</v>
      </c>
      <c r="D485" t="s">
        <v>33</v>
      </c>
      <c r="E485" t="s">
        <v>64</v>
      </c>
      <c r="F485" t="s">
        <v>105</v>
      </c>
      <c r="G485" t="s">
        <v>41</v>
      </c>
      <c r="H485" t="s">
        <v>86</v>
      </c>
      <c r="I485" t="s">
        <v>86</v>
      </c>
      <c r="J485" t="s">
        <v>24</v>
      </c>
      <c r="K485" s="3">
        <v>8</v>
      </c>
      <c r="L485" s="3">
        <v>19.53</v>
      </c>
      <c r="M485" s="3">
        <v>156.24</v>
      </c>
      <c r="N485" s="3">
        <v>62.08</v>
      </c>
      <c r="O485" s="3">
        <v>94.16</v>
      </c>
      <c r="P485" s="3">
        <v>153.25</v>
      </c>
    </row>
    <row r="486" spans="1:16">
      <c r="A486" t="s">
        <v>808</v>
      </c>
      <c r="B486" s="2" t="s">
        <v>809</v>
      </c>
      <c r="C486" t="s">
        <v>39</v>
      </c>
      <c r="D486" t="s">
        <v>40</v>
      </c>
      <c r="E486" t="s">
        <v>20</v>
      </c>
      <c r="F486" t="s">
        <v>56</v>
      </c>
      <c r="G486" t="s">
        <v>46</v>
      </c>
      <c r="H486" t="s">
        <v>47</v>
      </c>
      <c r="I486" t="s">
        <v>47</v>
      </c>
      <c r="J486" t="s">
        <v>24</v>
      </c>
      <c r="K486" s="3">
        <v>10</v>
      </c>
      <c r="L486" s="3">
        <v>332.86</v>
      </c>
      <c r="M486" s="3">
        <v>3328.6</v>
      </c>
      <c r="N486" s="3">
        <v>1807.61</v>
      </c>
      <c r="O486" s="3">
        <v>1520.99</v>
      </c>
      <c r="P486" s="3">
        <v>3637.59</v>
      </c>
    </row>
    <row r="487" spans="1:16">
      <c r="A487" t="s">
        <v>810</v>
      </c>
      <c r="B487" s="2" t="s">
        <v>331</v>
      </c>
      <c r="C487" t="s">
        <v>114</v>
      </c>
      <c r="D487" t="s">
        <v>33</v>
      </c>
      <c r="E487" t="s">
        <v>64</v>
      </c>
      <c r="F487" t="s">
        <v>103</v>
      </c>
      <c r="G487" t="s">
        <v>41</v>
      </c>
      <c r="H487" t="s">
        <v>69</v>
      </c>
      <c r="I487" t="s">
        <v>69</v>
      </c>
      <c r="J487" t="s">
        <v>52</v>
      </c>
      <c r="K487" s="3">
        <v>7</v>
      </c>
      <c r="L487" s="3">
        <v>12.58</v>
      </c>
      <c r="M487" s="3">
        <v>88.06</v>
      </c>
      <c r="N487" s="3">
        <v>27.17</v>
      </c>
      <c r="O487" s="3">
        <v>60.89</v>
      </c>
      <c r="P487" s="3">
        <v>90.98</v>
      </c>
    </row>
    <row r="488" spans="1:16">
      <c r="A488" t="s">
        <v>811</v>
      </c>
      <c r="B488" s="2" t="s">
        <v>812</v>
      </c>
      <c r="C488" t="s">
        <v>81</v>
      </c>
      <c r="D488" t="s">
        <v>82</v>
      </c>
      <c r="E488" t="s">
        <v>73</v>
      </c>
      <c r="F488" t="s">
        <v>83</v>
      </c>
      <c r="G488" t="s">
        <v>41</v>
      </c>
      <c r="H488" t="s">
        <v>86</v>
      </c>
      <c r="I488" t="s">
        <v>86</v>
      </c>
      <c r="J488" t="s">
        <v>52</v>
      </c>
      <c r="K488" s="3">
        <v>2</v>
      </c>
      <c r="L488" s="3">
        <v>17.12</v>
      </c>
      <c r="M488" s="3">
        <v>34.24</v>
      </c>
      <c r="N488" s="3">
        <v>15.65</v>
      </c>
      <c r="O488" s="3">
        <v>18.59</v>
      </c>
      <c r="P488" s="3">
        <v>38.56</v>
      </c>
    </row>
    <row r="489" spans="1:16">
      <c r="A489" t="s">
        <v>813</v>
      </c>
      <c r="B489" s="2" t="s">
        <v>814</v>
      </c>
      <c r="C489" t="s">
        <v>108</v>
      </c>
      <c r="D489" t="s">
        <v>40</v>
      </c>
      <c r="E489" t="s">
        <v>20</v>
      </c>
      <c r="F489" t="s">
        <v>28</v>
      </c>
      <c r="G489" t="s">
        <v>41</v>
      </c>
      <c r="H489" t="s">
        <v>42</v>
      </c>
      <c r="I489" t="s">
        <v>42</v>
      </c>
      <c r="J489" t="s">
        <v>29</v>
      </c>
      <c r="K489" s="3">
        <v>12</v>
      </c>
      <c r="L489" s="3">
        <v>9.2899999999999991</v>
      </c>
      <c r="M489" s="3">
        <v>111.48</v>
      </c>
      <c r="N489" s="3">
        <v>37.31</v>
      </c>
      <c r="O489" s="3">
        <v>74.17</v>
      </c>
      <c r="P489" s="3">
        <v>95.5</v>
      </c>
    </row>
    <row r="490" spans="1:16">
      <c r="A490" t="s">
        <v>815</v>
      </c>
      <c r="B490" s="2" t="s">
        <v>296</v>
      </c>
      <c r="C490" t="s">
        <v>32</v>
      </c>
      <c r="D490" t="s">
        <v>33</v>
      </c>
      <c r="E490" t="s">
        <v>20</v>
      </c>
      <c r="F490" t="s">
        <v>21</v>
      </c>
      <c r="G490" t="s">
        <v>41</v>
      </c>
      <c r="H490" t="s">
        <v>86</v>
      </c>
      <c r="I490" t="s">
        <v>86</v>
      </c>
      <c r="J490" t="s">
        <v>70</v>
      </c>
      <c r="K490" s="3">
        <v>17</v>
      </c>
      <c r="L490" s="3">
        <v>16.87</v>
      </c>
      <c r="M490" s="3">
        <v>286.79000000000002</v>
      </c>
      <c r="N490" s="3">
        <v>142.35</v>
      </c>
      <c r="O490" s="3">
        <v>144.44</v>
      </c>
      <c r="P490" s="3">
        <v>300.05</v>
      </c>
    </row>
    <row r="491" spans="1:16">
      <c r="A491" t="s">
        <v>816</v>
      </c>
      <c r="B491" s="2" t="s">
        <v>530</v>
      </c>
      <c r="C491" t="s">
        <v>108</v>
      </c>
      <c r="D491" t="s">
        <v>40</v>
      </c>
      <c r="E491" t="s">
        <v>34</v>
      </c>
      <c r="F491" t="s">
        <v>45</v>
      </c>
      <c r="G491" t="s">
        <v>41</v>
      </c>
      <c r="H491" t="s">
        <v>51</v>
      </c>
      <c r="I491" t="s">
        <v>51</v>
      </c>
      <c r="J491" t="s">
        <v>52</v>
      </c>
      <c r="K491" s="3">
        <v>1</v>
      </c>
      <c r="L491" s="3">
        <v>23.08</v>
      </c>
      <c r="M491" s="3">
        <v>23.08</v>
      </c>
      <c r="N491" s="3">
        <v>9.85</v>
      </c>
      <c r="O491" s="3">
        <v>13.23</v>
      </c>
      <c r="P491" s="3">
        <v>22.46</v>
      </c>
    </row>
    <row r="492" spans="1:16">
      <c r="A492" t="s">
        <v>817</v>
      </c>
      <c r="B492" s="2" t="s">
        <v>783</v>
      </c>
      <c r="C492" t="s">
        <v>32</v>
      </c>
      <c r="D492" t="s">
        <v>33</v>
      </c>
      <c r="E492" t="s">
        <v>34</v>
      </c>
      <c r="F492" t="s">
        <v>35</v>
      </c>
      <c r="G492" t="s">
        <v>46</v>
      </c>
      <c r="H492" t="s">
        <v>78</v>
      </c>
      <c r="I492" t="s">
        <v>78</v>
      </c>
      <c r="J492" t="s">
        <v>57</v>
      </c>
      <c r="K492" s="3">
        <v>1</v>
      </c>
      <c r="L492" s="3">
        <v>209.77</v>
      </c>
      <c r="M492" s="3">
        <v>209.77</v>
      </c>
      <c r="N492" s="3">
        <v>125.33</v>
      </c>
      <c r="O492" s="3">
        <v>84.44</v>
      </c>
      <c r="P492" s="3">
        <v>247.99</v>
      </c>
    </row>
    <row r="493" spans="1:16">
      <c r="A493" t="s">
        <v>818</v>
      </c>
      <c r="B493" s="2" t="s">
        <v>365</v>
      </c>
      <c r="C493" t="s">
        <v>111</v>
      </c>
      <c r="D493" t="s">
        <v>40</v>
      </c>
      <c r="E493" t="s">
        <v>64</v>
      </c>
      <c r="F493" t="s">
        <v>105</v>
      </c>
      <c r="G493" t="s">
        <v>22</v>
      </c>
      <c r="H493" t="s">
        <v>36</v>
      </c>
      <c r="I493" t="s">
        <v>36</v>
      </c>
      <c r="J493" t="s">
        <v>29</v>
      </c>
      <c r="K493" s="3">
        <v>20</v>
      </c>
      <c r="L493" s="3">
        <v>95.39</v>
      </c>
      <c r="M493" s="3">
        <v>1907.8</v>
      </c>
      <c r="N493" s="3">
        <v>1244.72</v>
      </c>
      <c r="O493" s="3">
        <v>663.08</v>
      </c>
      <c r="P493" s="3">
        <v>2080.04</v>
      </c>
    </row>
    <row r="494" spans="1:16">
      <c r="A494" t="s">
        <v>819</v>
      </c>
      <c r="B494" s="2" t="s">
        <v>820</v>
      </c>
      <c r="C494" t="s">
        <v>32</v>
      </c>
      <c r="D494" t="s">
        <v>33</v>
      </c>
      <c r="E494" t="s">
        <v>73</v>
      </c>
      <c r="F494" t="s">
        <v>74</v>
      </c>
      <c r="G494" t="s">
        <v>41</v>
      </c>
      <c r="H494" t="s">
        <v>42</v>
      </c>
      <c r="I494" t="s">
        <v>42</v>
      </c>
      <c r="J494" t="s">
        <v>57</v>
      </c>
      <c r="K494" s="3">
        <v>5</v>
      </c>
      <c r="L494" s="3">
        <v>8.91</v>
      </c>
      <c r="M494" s="3">
        <v>44.55</v>
      </c>
      <c r="N494" s="3">
        <v>14.56</v>
      </c>
      <c r="O494" s="3">
        <v>29.99</v>
      </c>
      <c r="P494" s="3">
        <v>40.03</v>
      </c>
    </row>
    <row r="495" spans="1:16">
      <c r="A495" t="s">
        <v>821</v>
      </c>
      <c r="B495" s="2" t="s">
        <v>474</v>
      </c>
      <c r="C495" t="s">
        <v>111</v>
      </c>
      <c r="D495" t="s">
        <v>40</v>
      </c>
      <c r="E495" t="s">
        <v>73</v>
      </c>
      <c r="F495" t="s">
        <v>74</v>
      </c>
      <c r="G495" t="s">
        <v>22</v>
      </c>
      <c r="H495" t="s">
        <v>23</v>
      </c>
      <c r="I495" t="s">
        <v>23</v>
      </c>
      <c r="J495" t="s">
        <v>84</v>
      </c>
      <c r="K495" s="3">
        <v>18</v>
      </c>
      <c r="L495" s="3">
        <v>269.77999999999997</v>
      </c>
      <c r="M495" s="3">
        <v>4856.04</v>
      </c>
      <c r="N495" s="3">
        <v>3611.87</v>
      </c>
      <c r="O495" s="3">
        <v>1244.17</v>
      </c>
      <c r="P495" s="3">
        <v>5350.41</v>
      </c>
    </row>
    <row r="496" spans="1:16">
      <c r="A496" t="s">
        <v>822</v>
      </c>
      <c r="B496" s="2" t="s">
        <v>569</v>
      </c>
      <c r="C496" t="s">
        <v>142</v>
      </c>
      <c r="D496" t="s">
        <v>33</v>
      </c>
      <c r="E496" t="s">
        <v>73</v>
      </c>
      <c r="F496" t="s">
        <v>83</v>
      </c>
      <c r="G496" t="s">
        <v>41</v>
      </c>
      <c r="H496" t="s">
        <v>51</v>
      </c>
      <c r="I496" t="s">
        <v>51</v>
      </c>
      <c r="J496" t="s">
        <v>52</v>
      </c>
      <c r="K496" s="3">
        <v>10</v>
      </c>
      <c r="L496" s="3">
        <v>24.03</v>
      </c>
      <c r="M496" s="3">
        <v>240.3</v>
      </c>
      <c r="N496" s="3">
        <v>99.43</v>
      </c>
      <c r="O496" s="3">
        <v>140.87</v>
      </c>
      <c r="P496" s="3">
        <v>282.79000000000002</v>
      </c>
    </row>
    <row r="497" spans="1:16">
      <c r="A497" t="s">
        <v>823</v>
      </c>
      <c r="B497" s="2" t="s">
        <v>292</v>
      </c>
      <c r="C497" t="s">
        <v>111</v>
      </c>
      <c r="D497" t="s">
        <v>40</v>
      </c>
      <c r="E497" t="s">
        <v>73</v>
      </c>
      <c r="F497" t="s">
        <v>83</v>
      </c>
      <c r="G497" t="s">
        <v>22</v>
      </c>
      <c r="H497" t="s">
        <v>23</v>
      </c>
      <c r="I497" t="s">
        <v>23</v>
      </c>
      <c r="J497" t="s">
        <v>57</v>
      </c>
      <c r="K497" s="3">
        <v>20</v>
      </c>
      <c r="L497" s="3">
        <v>253.47</v>
      </c>
      <c r="M497" s="3">
        <v>5069.3999999999996</v>
      </c>
      <c r="N497" s="3">
        <v>4046.78</v>
      </c>
      <c r="O497" s="3">
        <v>1022.62</v>
      </c>
      <c r="P497" s="3">
        <v>5383.51</v>
      </c>
    </row>
    <row r="498" spans="1:16">
      <c r="A498" t="s">
        <v>824</v>
      </c>
      <c r="B498" s="2" t="s">
        <v>825</v>
      </c>
      <c r="C498" t="s">
        <v>27</v>
      </c>
      <c r="D498" t="s">
        <v>19</v>
      </c>
      <c r="E498" t="s">
        <v>73</v>
      </c>
      <c r="F498" t="s">
        <v>83</v>
      </c>
      <c r="G498" t="s">
        <v>41</v>
      </c>
      <c r="H498" t="s">
        <v>86</v>
      </c>
      <c r="I498" t="s">
        <v>86</v>
      </c>
      <c r="J498" t="s">
        <v>89</v>
      </c>
      <c r="K498" s="3">
        <v>16</v>
      </c>
      <c r="L498" s="3">
        <v>18.68</v>
      </c>
      <c r="M498" s="3">
        <v>298.88</v>
      </c>
      <c r="N498" s="3">
        <v>123.32</v>
      </c>
      <c r="O498" s="3">
        <v>175.56</v>
      </c>
      <c r="P498" s="3">
        <v>342.56</v>
      </c>
    </row>
    <row r="499" spans="1:16">
      <c r="A499" t="s">
        <v>826</v>
      </c>
      <c r="B499" s="2" t="s">
        <v>664</v>
      </c>
      <c r="C499" t="s">
        <v>55</v>
      </c>
      <c r="D499" t="s">
        <v>19</v>
      </c>
      <c r="E499" t="s">
        <v>34</v>
      </c>
      <c r="F499" t="s">
        <v>123</v>
      </c>
      <c r="G499" t="s">
        <v>41</v>
      </c>
      <c r="H499" t="s">
        <v>51</v>
      </c>
      <c r="I499" t="s">
        <v>51</v>
      </c>
      <c r="J499" t="s">
        <v>70</v>
      </c>
      <c r="K499" s="3">
        <v>6</v>
      </c>
      <c r="L499" s="3">
        <v>21.88</v>
      </c>
      <c r="M499" s="3">
        <v>131.28</v>
      </c>
      <c r="N499" s="3">
        <v>58.16</v>
      </c>
      <c r="O499" s="3">
        <v>73.12</v>
      </c>
      <c r="P499" s="3">
        <v>113.07</v>
      </c>
    </row>
    <row r="500" spans="1:16">
      <c r="A500" t="s">
        <v>827</v>
      </c>
      <c r="B500" s="2" t="s">
        <v>338</v>
      </c>
      <c r="C500" t="s">
        <v>114</v>
      </c>
      <c r="D500" t="s">
        <v>33</v>
      </c>
      <c r="E500" t="s">
        <v>73</v>
      </c>
      <c r="F500" t="s">
        <v>137</v>
      </c>
      <c r="G500" t="s">
        <v>22</v>
      </c>
      <c r="H500" t="s">
        <v>95</v>
      </c>
      <c r="I500" t="s">
        <v>95</v>
      </c>
      <c r="J500" t="s">
        <v>61</v>
      </c>
      <c r="K500" s="3">
        <v>15</v>
      </c>
      <c r="L500" s="3">
        <v>608.02</v>
      </c>
      <c r="M500" s="3">
        <v>9120.2999999999993</v>
      </c>
      <c r="N500" s="3">
        <v>8086.36</v>
      </c>
      <c r="O500" s="3">
        <v>1033.94</v>
      </c>
      <c r="P500" s="3">
        <v>9316.2000000000007</v>
      </c>
    </row>
    <row r="501" spans="1:16">
      <c r="A501" t="s">
        <v>828</v>
      </c>
      <c r="B501" s="2" t="s">
        <v>267</v>
      </c>
      <c r="C501" t="s">
        <v>155</v>
      </c>
      <c r="D501" t="s">
        <v>82</v>
      </c>
      <c r="E501" t="s">
        <v>64</v>
      </c>
      <c r="F501" t="s">
        <v>65</v>
      </c>
      <c r="G501" t="s">
        <v>22</v>
      </c>
      <c r="H501" t="s">
        <v>36</v>
      </c>
      <c r="I501" t="s">
        <v>36</v>
      </c>
      <c r="J501" t="s">
        <v>70</v>
      </c>
      <c r="K501" s="3">
        <v>13</v>
      </c>
      <c r="L501" s="3">
        <v>99.18</v>
      </c>
      <c r="M501" s="3">
        <v>1289.3399999999999</v>
      </c>
      <c r="N501" s="3">
        <v>788.7</v>
      </c>
      <c r="O501" s="3">
        <v>500.64</v>
      </c>
      <c r="P501" s="3">
        <v>1430.99</v>
      </c>
    </row>
  </sheetData>
  <autoFilter ref="A1:P50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B09AA-AE2B-4C26-B267-81484FEC5D5F}">
  <dimension ref="A3:F17"/>
  <sheetViews>
    <sheetView workbookViewId="0">
      <selection activeCell="E39" sqref="E39"/>
    </sheetView>
  </sheetViews>
  <sheetFormatPr defaultRowHeight="15"/>
  <cols>
    <col min="1" max="1" width="13.140625" bestFit="1" customWidth="1"/>
    <col min="2" max="2" width="15.5703125" bestFit="1" customWidth="1"/>
    <col min="3" max="3" width="18.85546875" bestFit="1" customWidth="1"/>
    <col min="4" max="4" width="18" bestFit="1" customWidth="1"/>
  </cols>
  <sheetData>
    <row r="3" spans="1:6">
      <c r="A3" s="4" t="s">
        <v>829</v>
      </c>
      <c r="B3" t="s">
        <v>831</v>
      </c>
      <c r="C3" t="s">
        <v>832</v>
      </c>
      <c r="D3" t="s">
        <v>833</v>
      </c>
    </row>
    <row r="4" spans="1:6">
      <c r="A4" s="5" t="s">
        <v>34</v>
      </c>
      <c r="B4" s="6">
        <v>254684.84000000005</v>
      </c>
      <c r="C4" s="6">
        <v>261163.91000000003</v>
      </c>
      <c r="D4" s="7">
        <v>0.97519155690386172</v>
      </c>
    </row>
    <row r="5" spans="1:6">
      <c r="A5" s="5" t="s">
        <v>20</v>
      </c>
      <c r="B5" s="6">
        <v>192701.8900000001</v>
      </c>
      <c r="C5" s="6">
        <v>196146.45999999996</v>
      </c>
      <c r="D5" s="7">
        <v>0.9824387857930249</v>
      </c>
    </row>
    <row r="6" spans="1:6">
      <c r="A6" s="5" t="s">
        <v>73</v>
      </c>
      <c r="B6" s="6">
        <v>264706.54999999993</v>
      </c>
      <c r="C6" s="6">
        <v>277527.02</v>
      </c>
      <c r="D6" s="7">
        <v>0.95380460612447726</v>
      </c>
    </row>
    <row r="7" spans="1:6">
      <c r="A7" s="5" t="s">
        <v>64</v>
      </c>
      <c r="B7" s="6">
        <v>261766.92</v>
      </c>
      <c r="C7" s="12">
        <v>266318.71999999991</v>
      </c>
      <c r="D7" s="11">
        <v>0.98290844894418272</v>
      </c>
    </row>
    <row r="8" spans="1:6">
      <c r="A8" s="5" t="s">
        <v>830</v>
      </c>
      <c r="B8" s="6">
        <v>973860.20000000007</v>
      </c>
      <c r="C8" s="6">
        <v>1001156.1099999999</v>
      </c>
      <c r="D8" s="7">
        <v>0.97273561063318914</v>
      </c>
    </row>
    <row r="12" spans="1:6">
      <c r="D12" s="9"/>
    </row>
    <row r="13" spans="1:6">
      <c r="A13" s="4" t="s">
        <v>829</v>
      </c>
      <c r="B13" t="s">
        <v>831</v>
      </c>
      <c r="C13" t="s">
        <v>834</v>
      </c>
      <c r="D13" s="13" t="s">
        <v>835</v>
      </c>
    </row>
    <row r="14" spans="1:6">
      <c r="A14" s="5" t="s">
        <v>22</v>
      </c>
      <c r="B14" s="6">
        <v>448025.39</v>
      </c>
      <c r="C14" s="6">
        <v>113382.88000000002</v>
      </c>
      <c r="D14" s="8">
        <f>GETPIVOTDATA("Sum of Gross_Profit",$A$13,"Category","Electronics")/GETPIVOTDATA("Sum of Revenue",$A$13,"Category","Electronics")</f>
        <v>0.25307244305953291</v>
      </c>
    </row>
    <row r="15" spans="1:6">
      <c r="A15" s="5" t="s">
        <v>46</v>
      </c>
      <c r="B15" s="6">
        <v>500895.85999999981</v>
      </c>
      <c r="C15" s="6">
        <v>183350.40999999997</v>
      </c>
      <c r="D15" s="8">
        <f>GETPIVOTDATA("Sum of Gross_Profit",$A$13,"Category","Furniture")/GETPIVOTDATA("Sum of Revenue",$A$13,"Category","Furniture")</f>
        <v>0.36604496990651919</v>
      </c>
    </row>
    <row r="16" spans="1:6">
      <c r="A16" s="5" t="s">
        <v>41</v>
      </c>
      <c r="B16" s="6">
        <v>24938.950000000004</v>
      </c>
      <c r="C16" s="6">
        <v>15015.129999999996</v>
      </c>
      <c r="D16" s="15">
        <f>GETPIVOTDATA("Sum of Gross_Profit",$A$13,"Category","Office Supply")/GETPIVOTDATA("Sum of Revenue",$A$13,"Category","Office Supply")</f>
        <v>0.60207546829357261</v>
      </c>
      <c r="F16" s="10"/>
    </row>
    <row r="17" spans="1:4">
      <c r="A17" s="5" t="s">
        <v>830</v>
      </c>
      <c r="B17" s="6">
        <v>973860.19999999972</v>
      </c>
      <c r="C17" s="6">
        <v>311748.42</v>
      </c>
      <c r="D17" s="14">
        <f>GETPIVOTDATA("Sum of Gross_Profit",$A$13)/GETPIVOTDATA("Sum of Revenue",$A$13)</f>
        <v>0.32011619326880808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DC8E2-33F1-4FB6-84C7-87B1F0BC7C0C}">
  <dimension ref="A1:S30"/>
  <sheetViews>
    <sheetView tabSelected="1" zoomScaleNormal="100" workbookViewId="0">
      <selection activeCell="P1" sqref="P1"/>
    </sheetView>
  </sheetViews>
  <sheetFormatPr defaultRowHeight="15"/>
  <cols>
    <col min="1" max="1" width="14.5703125" bestFit="1" customWidth="1"/>
    <col min="2" max="2" width="19.85546875" bestFit="1" customWidth="1"/>
    <col min="3" max="3" width="12" bestFit="1" customWidth="1"/>
    <col min="4" max="4" width="12.5703125" bestFit="1" customWidth="1"/>
    <col min="7" max="7" width="14.28515625" bestFit="1" customWidth="1"/>
    <col min="10" max="10" width="12.140625" bestFit="1" customWidth="1"/>
    <col min="18" max="18" width="6.140625" bestFit="1" customWidth="1"/>
    <col min="19" max="19" width="36.42578125" bestFit="1" customWidth="1"/>
  </cols>
  <sheetData>
    <row r="1" spans="1:19" ht="18.75">
      <c r="A1" s="16" t="s">
        <v>836</v>
      </c>
      <c r="B1" s="16"/>
      <c r="C1" s="16"/>
      <c r="D1" s="16"/>
      <c r="E1" s="16"/>
      <c r="F1" s="16"/>
      <c r="G1" s="16"/>
      <c r="H1" s="16"/>
      <c r="I1" s="16"/>
      <c r="J1" s="16"/>
      <c r="K1" s="16"/>
    </row>
    <row r="3" spans="1:19">
      <c r="A3" s="17" t="s">
        <v>837</v>
      </c>
      <c r="B3" s="17"/>
      <c r="C3" s="17"/>
      <c r="D3" s="17" t="s">
        <v>838</v>
      </c>
      <c r="E3" s="17"/>
      <c r="F3" s="17"/>
      <c r="G3" s="17" t="s">
        <v>839</v>
      </c>
      <c r="H3" s="17"/>
      <c r="I3" s="17"/>
      <c r="J3" s="17" t="s">
        <v>840</v>
      </c>
      <c r="K3" s="17"/>
      <c r="L3" s="17"/>
      <c r="M3" s="17" t="s">
        <v>841</v>
      </c>
      <c r="N3" s="17"/>
      <c r="O3" s="17"/>
    </row>
    <row r="4" spans="1:19" ht="18.75">
      <c r="A4" s="17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R4" s="18"/>
      <c r="S4" s="18" t="s">
        <v>846</v>
      </c>
    </row>
    <row r="5" spans="1:19" ht="18.75">
      <c r="A5" s="20">
        <f>SUM(GETPIVOTDATA("Sum of Revenue",'Pivot Summary'!$A$3))</f>
        <v>973860.20000000007</v>
      </c>
      <c r="B5" s="20"/>
      <c r="C5" s="20"/>
      <c r="D5" s="21">
        <f>SUM(GETPIVOTDATA("Sum of Target",'Pivot Summary'!$A$3))</f>
        <v>1001156.1099999999</v>
      </c>
      <c r="E5" s="21"/>
      <c r="F5" s="21"/>
      <c r="G5" s="21">
        <f>SUM(GETPIVOTDATA("Sum of Gross_Profit",'Pivot Summary'!$A$13))</f>
        <v>311748.42</v>
      </c>
      <c r="H5" s="21"/>
      <c r="I5" s="21"/>
      <c r="J5" s="22">
        <f>SUM('Pivot Summary'!D17)</f>
        <v>0.32011619326880808</v>
      </c>
      <c r="K5" s="22"/>
      <c r="L5" s="22"/>
      <c r="M5" s="23">
        <f>SUM(GETPIVOTDATA("Sum of Attainment",'Pivot Summary'!$A$3))</f>
        <v>0.97273561063318914</v>
      </c>
      <c r="N5" s="23"/>
      <c r="O5" s="23"/>
      <c r="R5" s="26" t="s">
        <v>108</v>
      </c>
      <c r="S5" s="19">
        <v>77472.569999999992</v>
      </c>
    </row>
    <row r="6" spans="1:19" ht="18.75">
      <c r="A6" s="20"/>
      <c r="B6" s="20"/>
      <c r="C6" s="20"/>
      <c r="D6" s="21"/>
      <c r="E6" s="21"/>
      <c r="F6" s="21"/>
      <c r="G6" s="21"/>
      <c r="H6" s="21"/>
      <c r="I6" s="21"/>
      <c r="J6" s="22"/>
      <c r="K6" s="22"/>
      <c r="L6" s="22"/>
      <c r="M6" s="23"/>
      <c r="N6" s="23"/>
      <c r="O6" s="23"/>
      <c r="R6" s="26" t="s">
        <v>39</v>
      </c>
      <c r="S6" s="19">
        <v>68330.850000000006</v>
      </c>
    </row>
    <row r="7" spans="1:19" ht="18.75">
      <c r="R7" s="26" t="s">
        <v>111</v>
      </c>
      <c r="S7" s="19">
        <v>94877.309999999983</v>
      </c>
    </row>
    <row r="8" spans="1:19" ht="18.75">
      <c r="R8" s="26" t="s">
        <v>32</v>
      </c>
      <c r="S8" s="19">
        <v>76001.98</v>
      </c>
    </row>
    <row r="9" spans="1:19" ht="18.75">
      <c r="A9" s="17" t="s">
        <v>4</v>
      </c>
      <c r="B9" s="17"/>
      <c r="C9" s="17"/>
      <c r="D9" s="17" t="s">
        <v>12</v>
      </c>
      <c r="E9" s="17"/>
      <c r="F9" s="17"/>
      <c r="G9" s="17" t="s">
        <v>15</v>
      </c>
      <c r="H9" s="17"/>
      <c r="I9" s="17"/>
      <c r="J9" s="17" t="s">
        <v>842</v>
      </c>
      <c r="K9" s="17"/>
      <c r="L9" s="17"/>
      <c r="M9" s="17" t="s">
        <v>843</v>
      </c>
      <c r="N9" s="17"/>
      <c r="O9" s="17"/>
      <c r="R9" s="26" t="s">
        <v>114</v>
      </c>
      <c r="S9" s="19">
        <v>110358.80000000003</v>
      </c>
    </row>
    <row r="10" spans="1:19" ht="18.75">
      <c r="A10" s="17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R10" s="26" t="s">
        <v>142</v>
      </c>
      <c r="S10" s="19">
        <v>72438.870000000024</v>
      </c>
    </row>
    <row r="11" spans="1:19" ht="18.75">
      <c r="A11" s="17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R11" s="26" t="s">
        <v>102</v>
      </c>
      <c r="S11" s="19">
        <v>79721.130000000019</v>
      </c>
    </row>
    <row r="12" spans="1:19" ht="15" customHeight="1">
      <c r="A12" s="24" t="s">
        <v>20</v>
      </c>
      <c r="B12" s="24"/>
      <c r="C12" s="24"/>
      <c r="D12" s="20">
        <f>SUMIF('Raw Data'!E:E,"North",'Raw Data'!M:M)</f>
        <v>192701.8900000001</v>
      </c>
      <c r="E12" s="20"/>
      <c r="F12" s="20"/>
      <c r="G12" s="20">
        <f>SUMIF('Raw Data'!E:E,"North",'Raw Data'!P:P)</f>
        <v>196146.45999999996</v>
      </c>
      <c r="H12" s="20"/>
      <c r="I12" s="20"/>
      <c r="J12" s="30">
        <f>GETPIVOTDATA("Sum of Revenue",'Pivot Summary'!$A$3,"Region","North")-GETPIVOTDATA("Sum of Target",'Pivot Summary'!$A$3,"Region","North")</f>
        <v>-3444.5699999998615</v>
      </c>
      <c r="K12" s="30"/>
      <c r="L12" s="30"/>
      <c r="M12" s="23">
        <f>GETPIVOTDATA("Sum of Revenue",'Pivot Summary'!$A$3,"Region","North")/GETPIVOTDATA("Sum of Target",'Pivot Summary'!$A$3,"Region","North")</f>
        <v>0.9824387857930249</v>
      </c>
      <c r="N12" s="23"/>
      <c r="O12" s="23"/>
      <c r="R12" s="26" t="s">
        <v>155</v>
      </c>
      <c r="S12" s="19">
        <v>79663.5</v>
      </c>
    </row>
    <row r="13" spans="1:19" ht="18.75" customHeight="1">
      <c r="A13" s="24"/>
      <c r="B13" s="24"/>
      <c r="C13" s="24"/>
      <c r="D13" s="20"/>
      <c r="E13" s="20"/>
      <c r="F13" s="20"/>
      <c r="G13" s="20"/>
      <c r="H13" s="20"/>
      <c r="I13" s="20"/>
      <c r="J13" s="30"/>
      <c r="K13" s="30"/>
      <c r="L13" s="30"/>
      <c r="M13" s="23"/>
      <c r="N13" s="23"/>
      <c r="O13" s="23"/>
      <c r="R13" s="26" t="s">
        <v>81</v>
      </c>
      <c r="S13" s="19">
        <v>81226.780000000013</v>
      </c>
    </row>
    <row r="14" spans="1:19" ht="18.75" customHeight="1">
      <c r="A14" s="24" t="s">
        <v>73</v>
      </c>
      <c r="B14" s="24"/>
      <c r="C14" s="24"/>
      <c r="D14" s="20">
        <f>SUMIF('Raw Data'!E:E,"South",'Raw Data'!M:M)</f>
        <v>264706.54999999993</v>
      </c>
      <c r="E14" s="20"/>
      <c r="F14" s="20"/>
      <c r="G14" s="20">
        <f>SUMIF('Raw Data'!E:E,"South",'Raw Data'!P:P)</f>
        <v>277527.02</v>
      </c>
      <c r="H14" s="20"/>
      <c r="I14" s="20"/>
      <c r="J14" s="30">
        <f>GETPIVOTDATA("Sum of Revenue",'Pivot Summary'!$A$3,"Region","South")-GETPIVOTDATA("Sum of Target",'Pivot Summary'!$A$3,"Region","South")</f>
        <v>-12820.470000000088</v>
      </c>
      <c r="K14" s="30"/>
      <c r="L14" s="30"/>
      <c r="M14" s="23">
        <f>GETPIVOTDATA("Sum of Attainment",'Pivot Summary'!$A$3,"Region","South")</f>
        <v>0.95380460612447726</v>
      </c>
      <c r="N14" s="23"/>
      <c r="O14" s="23"/>
      <c r="R14" s="26" t="s">
        <v>27</v>
      </c>
      <c r="S14" s="19">
        <v>87537.239999999991</v>
      </c>
    </row>
    <row r="15" spans="1:19" ht="15" customHeight="1">
      <c r="A15" s="24"/>
      <c r="B15" s="24"/>
      <c r="C15" s="24"/>
      <c r="D15" s="20"/>
      <c r="E15" s="20"/>
      <c r="F15" s="20"/>
      <c r="G15" s="20"/>
      <c r="H15" s="20"/>
      <c r="I15" s="20"/>
      <c r="J15" s="30"/>
      <c r="K15" s="30"/>
      <c r="L15" s="30"/>
      <c r="M15" s="23"/>
      <c r="N15" s="23"/>
      <c r="O15" s="23"/>
      <c r="R15" s="26" t="s">
        <v>18</v>
      </c>
      <c r="S15" s="19">
        <v>85582.880000000019</v>
      </c>
    </row>
    <row r="16" spans="1:19" ht="18.75" customHeight="1">
      <c r="A16" s="24" t="s">
        <v>34</v>
      </c>
      <c r="B16" s="24"/>
      <c r="C16" s="24"/>
      <c r="D16" s="20">
        <f>SUMIF('Raw Data'!E:E,"East",'Raw Data'!M:M)</f>
        <v>254684.84000000005</v>
      </c>
      <c r="E16" s="20"/>
      <c r="F16" s="20"/>
      <c r="G16" s="20">
        <f>SUMIF('Raw Data'!E:E,"East",'Raw Data'!P:P)</f>
        <v>261163.91000000003</v>
      </c>
      <c r="H16" s="20"/>
      <c r="I16" s="20"/>
      <c r="J16" s="30">
        <f>GETPIVOTDATA("Sum of Revenue",'Pivot Summary'!$A$3,"Region","East")-GETPIVOTDATA("Sum of Target",'Pivot Summary'!$A$3,"Region","East")</f>
        <v>-6479.0699999999779</v>
      </c>
      <c r="K16" s="30"/>
      <c r="L16" s="30"/>
      <c r="M16" s="23">
        <f>GETPIVOTDATA("Sum of Attainment",'Pivot Summary'!$A$3,"Region","East")</f>
        <v>0.97519155690386172</v>
      </c>
      <c r="N16" s="23"/>
      <c r="O16" s="23"/>
      <c r="R16" s="26" t="s">
        <v>55</v>
      </c>
      <c r="S16" s="19">
        <v>60648.29</v>
      </c>
    </row>
    <row r="17" spans="1:19" ht="18.75" customHeight="1">
      <c r="A17" s="24"/>
      <c r="B17" s="24"/>
      <c r="C17" s="24"/>
      <c r="D17" s="20"/>
      <c r="E17" s="20"/>
      <c r="F17" s="20"/>
      <c r="G17" s="20"/>
      <c r="H17" s="20"/>
      <c r="I17" s="20"/>
      <c r="J17" s="30"/>
      <c r="K17" s="30"/>
      <c r="L17" s="30"/>
      <c r="M17" s="23"/>
      <c r="N17" s="23"/>
      <c r="O17" s="23"/>
    </row>
    <row r="18" spans="1:19" ht="18.75" customHeight="1">
      <c r="A18" s="24" t="s">
        <v>64</v>
      </c>
      <c r="B18" s="24"/>
      <c r="C18" s="24"/>
      <c r="D18" s="20">
        <f>SUMIF('Raw Data'!E:E,"West",'Raw Data'!M:M)</f>
        <v>261766.92</v>
      </c>
      <c r="E18" s="20"/>
      <c r="F18" s="20"/>
      <c r="G18" s="20">
        <f>SUMIF('Raw Data'!E:E,"West",'Raw Data'!P:P)</f>
        <v>266318.71999999991</v>
      </c>
      <c r="H18" s="20"/>
      <c r="I18" s="20"/>
      <c r="J18" s="30">
        <f>GETPIVOTDATA("Sum of Revenue",'Pivot Summary'!$A$3,"Region","West")-GETPIVOTDATA("Sum of Target",'Pivot Summary'!$A$3,"Region","West")</f>
        <v>-4551.799999999901</v>
      </c>
      <c r="K18" s="30"/>
      <c r="L18" s="30"/>
      <c r="M18" s="23">
        <f>GETPIVOTDATA("Sum of Attainment",'Pivot Summary'!$A$3,"Region","West")</f>
        <v>0.98290844894418272</v>
      </c>
      <c r="N18" s="23"/>
      <c r="O18" s="23"/>
    </row>
    <row r="19" spans="1:19" ht="18.75" customHeight="1">
      <c r="A19" s="24"/>
      <c r="B19" s="24"/>
      <c r="C19" s="24"/>
      <c r="D19" s="20"/>
      <c r="E19" s="20"/>
      <c r="F19" s="20"/>
      <c r="G19" s="20"/>
      <c r="H19" s="20"/>
      <c r="I19" s="20"/>
      <c r="J19" s="30"/>
      <c r="K19" s="30"/>
      <c r="L19" s="30"/>
      <c r="M19" s="23"/>
      <c r="N19" s="23"/>
      <c r="O19" s="23"/>
    </row>
    <row r="21" spans="1:19">
      <c r="A21" s="17" t="s">
        <v>6</v>
      </c>
      <c r="B21" s="17"/>
      <c r="C21" s="17"/>
      <c r="D21" s="17" t="s">
        <v>12</v>
      </c>
      <c r="E21" s="17"/>
      <c r="F21" s="17"/>
      <c r="G21" s="17" t="s">
        <v>839</v>
      </c>
      <c r="H21" s="17"/>
      <c r="I21" s="17"/>
      <c r="J21" s="17" t="s">
        <v>845</v>
      </c>
      <c r="K21" s="17"/>
      <c r="L21" s="17"/>
    </row>
    <row r="22" spans="1:19" ht="18.75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O22" s="16" t="s">
        <v>847</v>
      </c>
      <c r="P22" s="27"/>
      <c r="Q22" s="27"/>
      <c r="R22" s="27"/>
      <c r="S22" s="27"/>
    </row>
    <row r="23" spans="1:19" ht="18.75" customHeight="1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O23" s="29" t="s">
        <v>848</v>
      </c>
      <c r="P23" s="29"/>
      <c r="Q23" s="29"/>
      <c r="R23" s="29"/>
      <c r="S23" s="29"/>
    </row>
    <row r="24" spans="1:19" ht="15" customHeight="1">
      <c r="A24" s="24" t="s">
        <v>22</v>
      </c>
      <c r="B24" s="24"/>
      <c r="C24" s="24"/>
      <c r="D24" s="25">
        <f>SUMIF('Raw Data'!G:G,"Electronics",'Raw Data'!M:M)</f>
        <v>448025.39</v>
      </c>
      <c r="E24" s="25"/>
      <c r="F24" s="25"/>
      <c r="G24" s="20">
        <f>GETPIVOTDATA("Sum of Gross_Profit",'Pivot Summary'!$A$13,"Category","Electronics")</f>
        <v>113382.88000000002</v>
      </c>
      <c r="H24" s="20"/>
      <c r="I24" s="20"/>
      <c r="J24" s="22">
        <f>'Pivot Summary'!D14</f>
        <v>0.25307244305953291</v>
      </c>
      <c r="K24" s="22"/>
      <c r="L24" s="22"/>
      <c r="O24" s="29"/>
      <c r="P24" s="29"/>
      <c r="Q24" s="29"/>
      <c r="R24" s="29"/>
      <c r="S24" s="29"/>
    </row>
    <row r="25" spans="1:19" ht="15" customHeight="1">
      <c r="A25" s="24"/>
      <c r="B25" s="24"/>
      <c r="C25" s="24"/>
      <c r="D25" s="25"/>
      <c r="E25" s="25"/>
      <c r="F25" s="25"/>
      <c r="G25" s="20"/>
      <c r="H25" s="20"/>
      <c r="I25" s="20"/>
      <c r="J25" s="22"/>
      <c r="K25" s="22"/>
      <c r="L25" s="22"/>
      <c r="O25" s="29" t="s">
        <v>849</v>
      </c>
      <c r="P25" s="29"/>
      <c r="Q25" s="29"/>
      <c r="R25" s="29"/>
      <c r="S25" s="29"/>
    </row>
    <row r="26" spans="1:19" ht="15" customHeight="1">
      <c r="A26" s="24" t="s">
        <v>46</v>
      </c>
      <c r="B26" s="24"/>
      <c r="C26" s="24"/>
      <c r="D26" s="25">
        <f>GETPIVOTDATA("Sum of Revenue",'Pivot Summary'!$A$13,"Category","Furniture")</f>
        <v>500895.85999999981</v>
      </c>
      <c r="E26" s="25"/>
      <c r="F26" s="25"/>
      <c r="G26" s="20">
        <f>GETPIVOTDATA("Sum of Gross_Profit",'Pivot Summary'!$A$13,"Category","Furniture")</f>
        <v>183350.40999999997</v>
      </c>
      <c r="H26" s="20"/>
      <c r="I26" s="20"/>
      <c r="J26" s="22">
        <f>'Pivot Summary'!D15</f>
        <v>0.36604496990651919</v>
      </c>
      <c r="K26" s="22"/>
      <c r="L26" s="22"/>
      <c r="O26" s="29"/>
      <c r="P26" s="29"/>
      <c r="Q26" s="29"/>
      <c r="R26" s="29"/>
      <c r="S26" s="29"/>
    </row>
    <row r="27" spans="1:19" ht="15" customHeight="1">
      <c r="A27" s="24"/>
      <c r="B27" s="24"/>
      <c r="C27" s="24"/>
      <c r="D27" s="25"/>
      <c r="E27" s="25"/>
      <c r="F27" s="25"/>
      <c r="G27" s="20"/>
      <c r="H27" s="20"/>
      <c r="I27" s="20"/>
      <c r="J27" s="22"/>
      <c r="K27" s="22"/>
      <c r="L27" s="22"/>
      <c r="O27" s="29" t="s">
        <v>850</v>
      </c>
      <c r="P27" s="28"/>
      <c r="Q27" s="28"/>
      <c r="R27" s="28"/>
      <c r="S27" s="28"/>
    </row>
    <row r="28" spans="1:19" ht="15" customHeight="1">
      <c r="A28" s="24" t="s">
        <v>844</v>
      </c>
      <c r="B28" s="24"/>
      <c r="C28" s="24"/>
      <c r="D28" s="25">
        <f>GETPIVOTDATA("Sum of Revenue",'Pivot Summary'!$A$13,"Category","Office Supply")</f>
        <v>24938.950000000004</v>
      </c>
      <c r="E28" s="25"/>
      <c r="F28" s="25"/>
      <c r="G28" s="20">
        <f>GETPIVOTDATA("Sum of Gross_Profit",'Pivot Summary'!$A$13,"Category","Office Supply")</f>
        <v>15015.129999999996</v>
      </c>
      <c r="H28" s="20"/>
      <c r="I28" s="20"/>
      <c r="J28" s="22">
        <f>'Pivot Summary'!D16</f>
        <v>0.60207546829357261</v>
      </c>
      <c r="K28" s="22"/>
      <c r="L28" s="22"/>
      <c r="O28" s="28"/>
      <c r="P28" s="28"/>
      <c r="Q28" s="28"/>
      <c r="R28" s="28"/>
      <c r="S28" s="28"/>
    </row>
    <row r="29" spans="1:19" ht="15" customHeight="1">
      <c r="A29" s="24"/>
      <c r="B29" s="24"/>
      <c r="C29" s="24"/>
      <c r="D29" s="25"/>
      <c r="E29" s="25"/>
      <c r="F29" s="25"/>
      <c r="G29" s="20"/>
      <c r="H29" s="20"/>
      <c r="I29" s="20"/>
      <c r="J29" s="22"/>
      <c r="K29" s="22"/>
      <c r="L29" s="22"/>
      <c r="O29" s="29" t="s">
        <v>851</v>
      </c>
      <c r="P29" s="29"/>
      <c r="Q29" s="29"/>
      <c r="R29" s="29"/>
      <c r="S29" s="29"/>
    </row>
    <row r="30" spans="1:19" ht="15" customHeight="1">
      <c r="O30" s="29"/>
      <c r="P30" s="29"/>
      <c r="Q30" s="29"/>
      <c r="R30" s="29"/>
      <c r="S30" s="29"/>
    </row>
  </sheetData>
  <mergeCells count="66">
    <mergeCell ref="O22:S22"/>
    <mergeCell ref="O23:S24"/>
    <mergeCell ref="O25:S26"/>
    <mergeCell ref="O27:S28"/>
    <mergeCell ref="O29:S30"/>
    <mergeCell ref="G24:I25"/>
    <mergeCell ref="G26:I27"/>
    <mergeCell ref="G28:I29"/>
    <mergeCell ref="J24:L25"/>
    <mergeCell ref="J26:L27"/>
    <mergeCell ref="J28:L29"/>
    <mergeCell ref="A24:C25"/>
    <mergeCell ref="A26:C27"/>
    <mergeCell ref="A28:C29"/>
    <mergeCell ref="D24:F25"/>
    <mergeCell ref="D26:F27"/>
    <mergeCell ref="D28:F29"/>
    <mergeCell ref="D21:F22"/>
    <mergeCell ref="G21:I22"/>
    <mergeCell ref="J21:L22"/>
    <mergeCell ref="A23:C23"/>
    <mergeCell ref="D23:F23"/>
    <mergeCell ref="G23:I23"/>
    <mergeCell ref="J23:L23"/>
    <mergeCell ref="A12:C13"/>
    <mergeCell ref="A14:C15"/>
    <mergeCell ref="A16:C17"/>
    <mergeCell ref="A18:C19"/>
    <mergeCell ref="A21:C22"/>
    <mergeCell ref="G12:I13"/>
    <mergeCell ref="G14:I15"/>
    <mergeCell ref="G16:I17"/>
    <mergeCell ref="G18:I19"/>
    <mergeCell ref="D12:F13"/>
    <mergeCell ref="D14:F15"/>
    <mergeCell ref="D16:F17"/>
    <mergeCell ref="D18:F19"/>
    <mergeCell ref="J12:L13"/>
    <mergeCell ref="J14:L15"/>
    <mergeCell ref="J16:L17"/>
    <mergeCell ref="J18:L19"/>
    <mergeCell ref="M12:O13"/>
    <mergeCell ref="M14:O15"/>
    <mergeCell ref="M16:O17"/>
    <mergeCell ref="M18:O19"/>
    <mergeCell ref="A9:C10"/>
    <mergeCell ref="D9:F10"/>
    <mergeCell ref="G9:I10"/>
    <mergeCell ref="J9:L10"/>
    <mergeCell ref="M9:O10"/>
    <mergeCell ref="A11:C11"/>
    <mergeCell ref="D11:F11"/>
    <mergeCell ref="G11:I11"/>
    <mergeCell ref="J11:L11"/>
    <mergeCell ref="M11:O11"/>
    <mergeCell ref="A5:C6"/>
    <mergeCell ref="D5:F6"/>
    <mergeCell ref="G5:I6"/>
    <mergeCell ref="J5:L6"/>
    <mergeCell ref="M5:O6"/>
    <mergeCell ref="A1:K1"/>
    <mergeCell ref="A3:C4"/>
    <mergeCell ref="D3:F4"/>
    <mergeCell ref="G3:I4"/>
    <mergeCell ref="J3:L4"/>
    <mergeCell ref="M3:O4"/>
  </mergeCells>
  <conditionalFormatting sqref="M12:O1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Data</vt:lpstr>
      <vt:lpstr>Pivot Summary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Pham, Tommy</cp:lastModifiedBy>
  <dcterms:created xsi:type="dcterms:W3CDTF">2026-06-01T04:10:10Z</dcterms:created>
  <dcterms:modified xsi:type="dcterms:W3CDTF">2026-06-02T02:39:07Z</dcterms:modified>
</cp:coreProperties>
</file>